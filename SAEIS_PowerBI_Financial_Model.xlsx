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9E2AFF3-75BB-4DD6-B3F7-7E4B37F13D51}" xr6:coauthVersionLast="45" xr6:coauthVersionMax="45" xr10:uidLastSave="{00000000-0000-0000-0000-000000000000}"/>
  <bookViews>
    <workbookView xWindow="1455" yWindow="-120" windowWidth="17865" windowHeight="15600" xr2:uid="{00000000-000D-0000-FFFF-FFFF00000000}"/>
  </bookViews>
  <sheets>
    <sheet name="README" sheetId="1" r:id="rId1"/>
    <sheet name="Inputs" sheetId="2" r:id="rId2"/>
    <sheet name="Operating_Model" sheetId="3" r:id="rId3"/>
    <sheet name="Dashboard" sheetId="4" r:id="rId4"/>
    <sheet name="PowerBI_Export" sheetId="5" r:id="rId5"/>
    <sheet name="Sensitivity" sheetId="6" r:id="rId6"/>
  </sheets>
  <definedNames>
    <definedName name="_xlnm.Print_Area" localSheetId="3">Dashboard!$B$2:$AK$60</definedName>
    <definedName name="_xlnm.Print_Area" localSheetId="1">Inputs!$B$2:$AK$60</definedName>
    <definedName name="_xlnm.Print_Area" localSheetId="2">Operating_Model!$B$2:$AK$60</definedName>
    <definedName name="_xlnm.Print_Area" localSheetId="5">Sensitivity!$B$2:$AK$60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4" l="1"/>
  <c r="G12" i="6"/>
  <c r="F12" i="6"/>
  <c r="E12" i="6"/>
  <c r="D12" i="6"/>
  <c r="G11" i="6"/>
  <c r="F11" i="6"/>
  <c r="E11" i="6"/>
  <c r="D11" i="6"/>
  <c r="G10" i="6"/>
  <c r="F10" i="6"/>
  <c r="E10" i="6"/>
  <c r="D10" i="6"/>
  <c r="G9" i="6"/>
  <c r="F9" i="6"/>
  <c r="E9" i="6"/>
  <c r="D9" i="6"/>
  <c r="D12" i="4"/>
  <c r="D13" i="4" s="1"/>
  <c r="D10" i="4"/>
  <c r="D11" i="4" s="1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W15" i="3"/>
  <c r="S15" i="3"/>
  <c r="G15" i="3"/>
  <c r="AA12" i="3"/>
  <c r="W12" i="3"/>
  <c r="P12" i="3"/>
  <c r="O12" i="3"/>
  <c r="K12" i="3"/>
  <c r="G12" i="3"/>
  <c r="AA9" i="3"/>
  <c r="AA15" i="3" s="1"/>
  <c r="Z9" i="3"/>
  <c r="Z15" i="3" s="1"/>
  <c r="Y9" i="3"/>
  <c r="Y15" i="3" s="1"/>
  <c r="X9" i="3"/>
  <c r="X12" i="3" s="1"/>
  <c r="W9" i="3"/>
  <c r="V9" i="3"/>
  <c r="V15" i="3" s="1"/>
  <c r="U9" i="3"/>
  <c r="U12" i="3" s="1"/>
  <c r="T9" i="3"/>
  <c r="T15" i="3" s="1"/>
  <c r="S9" i="3"/>
  <c r="S12" i="3" s="1"/>
  <c r="R9" i="3"/>
  <c r="R15" i="3" s="1"/>
  <c r="Q9" i="3"/>
  <c r="Q12" i="3" s="1"/>
  <c r="P9" i="3"/>
  <c r="P15" i="3" s="1"/>
  <c r="O9" i="3"/>
  <c r="O15" i="3" s="1"/>
  <c r="N9" i="3"/>
  <c r="N15" i="3" s="1"/>
  <c r="M9" i="3"/>
  <c r="M12" i="3" s="1"/>
  <c r="L9" i="3"/>
  <c r="L12" i="3" s="1"/>
  <c r="K9" i="3"/>
  <c r="K15" i="3" s="1"/>
  <c r="J9" i="3"/>
  <c r="J15" i="3" s="1"/>
  <c r="I9" i="3"/>
  <c r="I15" i="3" s="1"/>
  <c r="H9" i="3"/>
  <c r="H12" i="3" s="1"/>
  <c r="G9" i="3"/>
  <c r="F9" i="3"/>
  <c r="F15" i="3" s="1"/>
  <c r="E9" i="3"/>
  <c r="E15" i="3" s="1"/>
  <c r="D9" i="3"/>
  <c r="D15" i="3" s="1"/>
  <c r="E12" i="3" l="1"/>
  <c r="H15" i="3"/>
  <c r="M15" i="3"/>
  <c r="X15" i="3"/>
  <c r="U15" i="3"/>
  <c r="D10" i="3"/>
  <c r="D12" i="3"/>
  <c r="I12" i="3"/>
  <c r="T12" i="3"/>
  <c r="Y12" i="3"/>
  <c r="L15" i="3"/>
  <c r="Q15" i="3"/>
  <c r="F12" i="3"/>
  <c r="J12" i="3"/>
  <c r="N12" i="3"/>
  <c r="R12" i="3"/>
  <c r="V12" i="3"/>
  <c r="Z12" i="3"/>
  <c r="D11" i="3" l="1"/>
  <c r="D13" i="3" s="1"/>
  <c r="D14" i="3"/>
  <c r="D16" i="3" s="1"/>
  <c r="E10" i="3"/>
  <c r="F10" i="3" l="1"/>
  <c r="E11" i="3"/>
  <c r="E13" i="3" s="1"/>
  <c r="E14" i="3"/>
  <c r="E16" i="3" s="1"/>
  <c r="D17" i="3"/>
  <c r="D20" i="3" l="1"/>
  <c r="D21" i="3" s="1"/>
  <c r="D18" i="3"/>
  <c r="E17" i="3"/>
  <c r="F14" i="3"/>
  <c r="F16" i="3" s="1"/>
  <c r="F11" i="3"/>
  <c r="F13" i="3" s="1"/>
  <c r="G10" i="3"/>
  <c r="E18" i="3" l="1"/>
  <c r="E20" i="3"/>
  <c r="G14" i="3"/>
  <c r="G16" i="3" s="1"/>
  <c r="G11" i="3"/>
  <c r="G13" i="3" s="1"/>
  <c r="G17" i="3" s="1"/>
  <c r="H10" i="3"/>
  <c r="F17" i="3"/>
  <c r="D22" i="3"/>
  <c r="D23" i="3" s="1"/>
  <c r="E21" i="3"/>
  <c r="E22" i="3" l="1"/>
  <c r="E23" i="3" s="1"/>
  <c r="G20" i="3"/>
  <c r="G18" i="3"/>
  <c r="F20" i="3"/>
  <c r="F21" i="3" s="1"/>
  <c r="F18" i="3"/>
  <c r="H11" i="3"/>
  <c r="H13" i="3" s="1"/>
  <c r="I10" i="3"/>
  <c r="H14" i="3"/>
  <c r="H16" i="3" s="1"/>
  <c r="F22" i="3" l="1"/>
  <c r="F23" i="3" s="1"/>
  <c r="G21" i="3"/>
  <c r="J10" i="3"/>
  <c r="I14" i="3"/>
  <c r="I16" i="3" s="1"/>
  <c r="I11" i="3"/>
  <c r="I13" i="3" s="1"/>
  <c r="I17" i="3" s="1"/>
  <c r="H17" i="3"/>
  <c r="H20" i="3" l="1"/>
  <c r="H18" i="3"/>
  <c r="I20" i="3"/>
  <c r="I18" i="3"/>
  <c r="H21" i="3"/>
  <c r="G22" i="3"/>
  <c r="G23" i="3" s="1"/>
  <c r="J14" i="3"/>
  <c r="J16" i="3" s="1"/>
  <c r="J11" i="3"/>
  <c r="J13" i="3" s="1"/>
  <c r="K10" i="3"/>
  <c r="J17" i="3" l="1"/>
  <c r="L10" i="3"/>
  <c r="K14" i="3"/>
  <c r="K16" i="3" s="1"/>
  <c r="K11" i="3"/>
  <c r="K13" i="3" s="1"/>
  <c r="H22" i="3"/>
  <c r="H23" i="3" s="1"/>
  <c r="I21" i="3"/>
  <c r="I22" i="3" l="1"/>
  <c r="I23" i="3" s="1"/>
  <c r="L14" i="3"/>
  <c r="L16" i="3" s="1"/>
  <c r="L11" i="3"/>
  <c r="L13" i="3" s="1"/>
  <c r="M10" i="3"/>
  <c r="K17" i="3"/>
  <c r="J20" i="3"/>
  <c r="J21" i="3" s="1"/>
  <c r="J18" i="3"/>
  <c r="J22" i="3" l="1"/>
  <c r="J23" i="3" s="1"/>
  <c r="L17" i="3"/>
  <c r="K20" i="3"/>
  <c r="K21" i="3" s="1"/>
  <c r="K18" i="3"/>
  <c r="N10" i="3"/>
  <c r="M14" i="3"/>
  <c r="M16" i="3" s="1"/>
  <c r="M11" i="3"/>
  <c r="M13" i="3" s="1"/>
  <c r="K22" i="3" l="1"/>
  <c r="K23" i="3" s="1"/>
  <c r="M17" i="3"/>
  <c r="L20" i="3"/>
  <c r="L21" i="3" s="1"/>
  <c r="L18" i="3"/>
  <c r="N14" i="3"/>
  <c r="N16" i="3" s="1"/>
  <c r="N11" i="3"/>
  <c r="N13" i="3" s="1"/>
  <c r="N17" i="3" s="1"/>
  <c r="O10" i="3"/>
  <c r="L22" i="3" l="1"/>
  <c r="L23" i="3" s="1"/>
  <c r="N20" i="3"/>
  <c r="N18" i="3"/>
  <c r="O11" i="3"/>
  <c r="O13" i="3" s="1"/>
  <c r="P10" i="3"/>
  <c r="O14" i="3"/>
  <c r="O16" i="3" s="1"/>
  <c r="M20" i="3"/>
  <c r="M21" i="3" s="1"/>
  <c r="M18" i="3"/>
  <c r="N21" i="3" l="1"/>
  <c r="M22" i="3"/>
  <c r="M23" i="3" s="1"/>
  <c r="P11" i="3"/>
  <c r="P13" i="3" s="1"/>
  <c r="P17" i="3" s="1"/>
  <c r="Q10" i="3"/>
  <c r="P14" i="3"/>
  <c r="P16" i="3" s="1"/>
  <c r="O17" i="3"/>
  <c r="O20" i="3" l="1"/>
  <c r="O18" i="3"/>
  <c r="R10" i="3"/>
  <c r="Q14" i="3"/>
  <c r="Q16" i="3" s="1"/>
  <c r="Q11" i="3"/>
  <c r="Q13" i="3" s="1"/>
  <c r="Q17" i="3" s="1"/>
  <c r="P20" i="3"/>
  <c r="P18" i="3"/>
  <c r="N22" i="3"/>
  <c r="N23" i="3" s="1"/>
  <c r="O21" i="3"/>
  <c r="R14" i="3" l="1"/>
  <c r="R16" i="3" s="1"/>
  <c r="R11" i="3"/>
  <c r="R13" i="3" s="1"/>
  <c r="R17" i="3" s="1"/>
  <c r="S10" i="3"/>
  <c r="P21" i="3"/>
  <c r="O22" i="3"/>
  <c r="O23" i="3" s="1"/>
  <c r="Q20" i="3"/>
  <c r="Q18" i="3"/>
  <c r="P22" i="3" l="1"/>
  <c r="P23" i="3" s="1"/>
  <c r="Q21" i="3"/>
  <c r="T10" i="3"/>
  <c r="S11" i="3"/>
  <c r="S13" i="3" s="1"/>
  <c r="S14" i="3"/>
  <c r="S16" i="3" s="1"/>
  <c r="R20" i="3"/>
  <c r="R18" i="3"/>
  <c r="S17" i="3" l="1"/>
  <c r="T11" i="3"/>
  <c r="T13" i="3" s="1"/>
  <c r="T17" i="3" s="1"/>
  <c r="U10" i="3"/>
  <c r="T14" i="3"/>
  <c r="T16" i="3" s="1"/>
  <c r="R21" i="3"/>
  <c r="Q22" i="3"/>
  <c r="Q23" i="3" s="1"/>
  <c r="V10" i="3" l="1"/>
  <c r="U14" i="3"/>
  <c r="U16" i="3" s="1"/>
  <c r="U11" i="3"/>
  <c r="U13" i="3" s="1"/>
  <c r="U17" i="3" s="1"/>
  <c r="T20" i="3"/>
  <c r="T18" i="3"/>
  <c r="R22" i="3"/>
  <c r="R23" i="3" s="1"/>
  <c r="S21" i="3"/>
  <c r="S20" i="3"/>
  <c r="S18" i="3"/>
  <c r="T21" i="3" l="1"/>
  <c r="S22" i="3"/>
  <c r="S23" i="3" s="1"/>
  <c r="U18" i="3"/>
  <c r="U20" i="3"/>
  <c r="V14" i="3"/>
  <c r="V16" i="3" s="1"/>
  <c r="V11" i="3"/>
  <c r="V13" i="3" s="1"/>
  <c r="V17" i="3" s="1"/>
  <c r="W10" i="3"/>
  <c r="V20" i="3" l="1"/>
  <c r="V18" i="3"/>
  <c r="W14" i="3"/>
  <c r="W16" i="3" s="1"/>
  <c r="W11" i="3"/>
  <c r="W13" i="3" s="1"/>
  <c r="X10" i="3"/>
  <c r="T22" i="3"/>
  <c r="T23" i="3" s="1"/>
  <c r="U21" i="3"/>
  <c r="W17" i="3" l="1"/>
  <c r="V21" i="3"/>
  <c r="U22" i="3"/>
  <c r="U23" i="3" s="1"/>
  <c r="X11" i="3"/>
  <c r="X13" i="3" s="1"/>
  <c r="Y10" i="3"/>
  <c r="X14" i="3"/>
  <c r="X16" i="3" s="1"/>
  <c r="X17" i="3" l="1"/>
  <c r="V22" i="3"/>
  <c r="V23" i="3" s="1"/>
  <c r="Z10" i="3"/>
  <c r="Y11" i="3"/>
  <c r="Y13" i="3" s="1"/>
  <c r="Y14" i="3"/>
  <c r="Y16" i="3" s="1"/>
  <c r="W20" i="3"/>
  <c r="W21" i="3" s="1"/>
  <c r="W18" i="3"/>
  <c r="W22" i="3" l="1"/>
  <c r="W23" i="3" s="1"/>
  <c r="Z14" i="3"/>
  <c r="Z16" i="3" s="1"/>
  <c r="Z11" i="3"/>
  <c r="Z13" i="3" s="1"/>
  <c r="AA10" i="3"/>
  <c r="Y17" i="3"/>
  <c r="X20" i="3"/>
  <c r="X21" i="3" s="1"/>
  <c r="X18" i="3"/>
  <c r="X22" i="3" l="1"/>
  <c r="X23" i="3" s="1"/>
  <c r="Z17" i="3"/>
  <c r="Y20" i="3"/>
  <c r="Y21" i="3" s="1"/>
  <c r="Y18" i="3"/>
  <c r="AA11" i="3"/>
  <c r="AA13" i="3" s="1"/>
  <c r="AA14" i="3"/>
  <c r="AA16" i="3" s="1"/>
  <c r="Y22" i="3" l="1"/>
  <c r="Y23" i="3" s="1"/>
  <c r="Z20" i="3"/>
  <c r="Z21" i="3" s="1"/>
  <c r="Z18" i="3"/>
  <c r="AA17" i="3"/>
  <c r="Z22" i="3" l="1"/>
  <c r="Z23" i="3" s="1"/>
  <c r="AA20" i="3"/>
  <c r="AA21" i="3" s="1"/>
  <c r="AA22" i="3" s="1"/>
  <c r="AA18" i="3"/>
  <c r="D15" i="4" l="1"/>
  <c r="AA23" i="3"/>
  <c r="D1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9" authorId="0" shapeId="0" xr:uid="{00000000-0006-0000-0100-000001000000}">
      <text>
        <r>
          <rPr>
            <sz val="10"/>
            <rFont val="Arial"/>
            <family val="2"/>
          </rPr>
          <t>Source: Pitch deck / updated funding slide; user-provided project assumption.</t>
        </r>
      </text>
    </comment>
    <comment ref="D10" authorId="0" shapeId="0" xr:uid="{00000000-0006-0000-0100-000002000000}">
      <text>
        <r>
          <rPr>
            <sz val="10"/>
            <rFont val="Arial"/>
            <family val="2"/>
          </rPr>
          <t>Source: Illustrative placeholder for model mechanics; replace with signed pricing or management-approved pricing.</t>
        </r>
      </text>
    </comment>
    <comment ref="D11" authorId="0" shapeId="0" xr:uid="{00000000-0006-0000-0100-000003000000}">
      <text>
        <r>
          <rPr>
            <sz val="10"/>
            <rFont val="Arial"/>
            <family val="2"/>
          </rPr>
          <t>Source: Illustrative placeholder; replace with quoted implementation pricing.</t>
        </r>
      </text>
    </comment>
    <comment ref="D12" authorId="0" shapeId="0" xr:uid="{00000000-0006-0000-0100-000004000000}">
      <text>
        <r>
          <rPr>
            <sz val="10"/>
            <rFont val="Arial"/>
            <family val="2"/>
          </rPr>
          <t>Source: Illustrative placeholder; replace with hosting, support, and usage cost evidence.</t>
        </r>
      </text>
    </comment>
    <comment ref="D13" authorId="0" shapeId="0" xr:uid="{00000000-0006-0000-0100-000005000000}">
      <text>
        <r>
          <rPr>
            <sz val="10"/>
            <rFont val="Arial"/>
            <family val="2"/>
          </rPr>
          <t>Source: Illustrative placeholder; replace with actual connector and implementation cost.</t>
        </r>
      </text>
    </comment>
    <comment ref="D14" authorId="0" shapeId="0" xr:uid="{00000000-0006-0000-0100-000006000000}">
      <text>
        <r>
          <rPr>
            <sz val="10"/>
            <rFont val="Arial"/>
            <family val="2"/>
          </rPr>
          <t>Source: Illustrative placeholder; replace with payroll, tools, legal, and administration budget.</t>
        </r>
      </text>
    </comment>
    <comment ref="D15" authorId="0" shapeId="0" xr:uid="{00000000-0006-0000-0100-000007000000}">
      <text>
        <r>
          <rPr>
            <sz val="10"/>
            <rFont val="Arial"/>
            <family val="2"/>
          </rPr>
          <t>Source: Modeling convention; replace with current contracted customers if any.</t>
        </r>
      </text>
    </comment>
    <comment ref="D16" authorId="0" shapeId="0" xr:uid="{00000000-0006-0000-0100-000008000000}">
      <text>
        <r>
          <rPr>
            <sz val="10"/>
            <rFont val="Arial"/>
            <family val="2"/>
          </rPr>
          <t>Source: Illustrative placeholder; replace with pipeline conversion evidence.</t>
        </r>
      </text>
    </comment>
    <comment ref="D17" authorId="0" shapeId="0" xr:uid="{00000000-0006-0000-0100-000009000000}">
      <text>
        <r>
          <rPr>
            <sz val="10"/>
            <rFont val="Arial"/>
            <family val="2"/>
          </rPr>
          <t>Source: Two-year operating view for a pre-seed planning dashboard.</t>
        </r>
      </text>
    </comment>
    <comment ref="D18" authorId="0" shapeId="0" xr:uid="{00000000-0006-0000-0100-00000A000000}">
      <text>
        <r>
          <rPr>
            <sz val="10"/>
            <rFont val="Arial"/>
            <family val="2"/>
          </rPr>
          <t>Source: Midpoint of the 4–6 client target shown in the project pitch deck; not a verified forecast.</t>
        </r>
      </text>
    </comment>
  </commentList>
</comments>
</file>

<file path=xl/sharedStrings.xml><?xml version="1.0" encoding="utf-8"?>
<sst xmlns="http://schemas.openxmlformats.org/spreadsheetml/2006/main" count="170" uniqueCount="137">
  <si>
    <t>SAEIS — Power BI Financial Dashboard Model</t>
  </si>
  <si>
    <t>الغرض</t>
  </si>
  <si>
    <r>
      <rPr>
        <sz val="11"/>
        <color theme="1"/>
        <rFont val="Lohit Devanagari"/>
        <family val="2"/>
      </rPr>
      <t xml:space="preserve">نموذج أولي قابل للتعديل والاستيراد إلى </t>
    </r>
    <r>
      <rPr>
        <sz val="11"/>
        <color theme="1"/>
        <rFont val="Calibri"/>
        <family val="2"/>
        <charset val="1"/>
      </rPr>
      <t xml:space="preserve">Power BI </t>
    </r>
    <r>
      <rPr>
        <sz val="11"/>
        <color theme="1"/>
        <rFont val="Lohit Devanagari"/>
        <family val="2"/>
      </rPr>
      <t>لقياس نقطة التعادل، فترة الاسترداد، وهامش المساهمة</t>
    </r>
    <r>
      <rPr>
        <sz val="11"/>
        <color theme="1"/>
        <rFont val="Calibri"/>
        <family val="2"/>
        <charset val="1"/>
      </rPr>
      <t>.</t>
    </r>
  </si>
  <si>
    <t>تنبيه مهم</t>
  </si>
  <si>
    <r>
      <rPr>
        <sz val="11"/>
        <color theme="1"/>
        <rFont val="Lohit Devanagari"/>
        <family val="2"/>
      </rPr>
      <t xml:space="preserve">الأرقام التي تحمل وسم </t>
    </r>
    <r>
      <rPr>
        <sz val="11"/>
        <color theme="1"/>
        <rFont val="Calibri"/>
        <family val="2"/>
        <charset val="1"/>
      </rPr>
      <t xml:space="preserve">Illustrative placeholder </t>
    </r>
    <r>
      <rPr>
        <sz val="11"/>
        <color theme="1"/>
        <rFont val="Lohit Devanagari"/>
        <family val="2"/>
      </rPr>
      <t xml:space="preserve">ليست بيانات فعلية عن </t>
    </r>
    <r>
      <rPr>
        <sz val="11"/>
        <color theme="1"/>
        <rFont val="Calibri"/>
        <family val="2"/>
        <charset val="1"/>
      </rPr>
      <t xml:space="preserve">SAEIS. </t>
    </r>
    <r>
      <rPr>
        <sz val="11"/>
        <color theme="1"/>
        <rFont val="Lohit Devanagari"/>
        <family val="2"/>
      </rPr>
      <t>هي قيم تشغيلية مؤقتة لعرض طريقة عمل النموذج، ويجب استبدالها قبل مشاركة النموذج مع ممولين</t>
    </r>
    <r>
      <rPr>
        <sz val="11"/>
        <color theme="1"/>
        <rFont val="Calibri"/>
        <family val="2"/>
        <charset val="1"/>
      </rPr>
      <t>.</t>
    </r>
  </si>
  <si>
    <t>طريقة الاستخدام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</si>
  <si>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Lohit Devanagari"/>
        <family val="2"/>
      </rPr>
      <t xml:space="preserve">عدّل الخلايا الزرقاء في ورقة </t>
    </r>
    <r>
      <rPr>
        <sz val="11"/>
        <color theme="1"/>
        <rFont val="Calibri"/>
        <family val="2"/>
        <charset val="1"/>
      </rPr>
      <t xml:space="preserve">Inputs. 2) </t>
    </r>
    <r>
      <rPr>
        <sz val="11"/>
        <color theme="1"/>
        <rFont val="Lohit Devanagari"/>
        <family val="2"/>
      </rPr>
      <t xml:space="preserve">راجع النتائج في </t>
    </r>
    <r>
      <rPr>
        <sz val="11"/>
        <color theme="1"/>
        <rFont val="Calibri"/>
        <family val="2"/>
        <charset val="1"/>
      </rPr>
      <t xml:space="preserve">Dashboard. 3) </t>
    </r>
    <r>
      <rPr>
        <sz val="11"/>
        <color theme="1"/>
        <rFont val="Lohit Devanagari"/>
        <family val="2"/>
      </rPr>
      <t xml:space="preserve">استورد </t>
    </r>
    <r>
      <rPr>
        <sz val="11"/>
        <color theme="1"/>
        <rFont val="Calibri"/>
        <family val="2"/>
        <charset val="1"/>
      </rPr>
      <t xml:space="preserve">PowerBI_Export </t>
    </r>
    <r>
      <rPr>
        <sz val="11"/>
        <color theme="1"/>
        <rFont val="Lohit Devanagari"/>
        <family val="2"/>
      </rPr>
      <t xml:space="preserve">إلى </t>
    </r>
    <r>
      <rPr>
        <sz val="11"/>
        <color theme="1"/>
        <rFont val="Calibri"/>
        <family val="2"/>
        <charset val="1"/>
      </rPr>
      <t xml:space="preserve">Power BI Desktop. 4) </t>
    </r>
    <r>
      <rPr>
        <sz val="11"/>
        <color theme="1"/>
        <rFont val="Lohit Devanagari"/>
        <family val="2"/>
      </rPr>
      <t xml:space="preserve">استخدم مقاييس </t>
    </r>
    <r>
      <rPr>
        <sz val="11"/>
        <color theme="1"/>
        <rFont val="Calibri"/>
        <family val="2"/>
        <charset val="1"/>
      </rPr>
      <t xml:space="preserve">DAX </t>
    </r>
    <r>
      <rPr>
        <sz val="11"/>
        <color theme="1"/>
        <rFont val="Lohit Devanagari"/>
        <family val="2"/>
      </rPr>
      <t>في ملف الإرشادات المرفق</t>
    </r>
    <r>
      <rPr>
        <sz val="11"/>
        <color theme="1"/>
        <rFont val="Calibri"/>
        <family val="2"/>
        <charset val="1"/>
      </rPr>
      <t>.</t>
    </r>
  </si>
  <si>
    <t>تعريفات المقاييس</t>
  </si>
  <si>
    <r>
      <rPr>
        <sz val="11"/>
        <color theme="1"/>
        <rFont val="Lohit Devanagari"/>
        <family val="2"/>
      </rPr>
      <t xml:space="preserve">هامش المساهمة </t>
    </r>
    <r>
      <rPr>
        <sz val="11"/>
        <color theme="1"/>
        <rFont val="Calibri"/>
        <family val="2"/>
        <charset val="1"/>
      </rPr>
      <t>= (</t>
    </r>
    <r>
      <rPr>
        <sz val="11"/>
        <color theme="1"/>
        <rFont val="Lohit Devanagari"/>
        <family val="2"/>
      </rPr>
      <t>الإيراد − التكاليف المتغيرة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Lohit Devanagari"/>
        <family val="2"/>
      </rPr>
      <t>الإيراد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 xml:space="preserve">نقطة التعادل بالعملاء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Lohit Devanagari"/>
        <family val="2"/>
      </rPr>
      <t xml:space="preserve">التكاليف الثابتة الشهرية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Lohit Devanagari"/>
        <family val="2"/>
      </rPr>
      <t>مساهمة العميل المتكرر الشهرية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Lohit Devanagari"/>
        <family val="2"/>
      </rPr>
      <t xml:space="preserve">فترة الاسترداد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Lohit Devanagari"/>
        <family val="2"/>
      </rPr>
      <t>أول شهر يصبح فيه التدفق النقدي التراكمي بعد الاستثمار الأولي غير سالب</t>
    </r>
    <r>
      <rPr>
        <sz val="11"/>
        <color theme="1"/>
        <rFont val="Calibri"/>
        <family val="2"/>
        <charset val="1"/>
      </rPr>
      <t>.</t>
    </r>
  </si>
  <si>
    <t>نطاق النموذج</t>
  </si>
  <si>
    <r>
      <rPr>
        <sz val="11"/>
        <color theme="1"/>
        <rFont val="Lohit Devanagari"/>
        <family val="2"/>
      </rPr>
      <t xml:space="preserve">النموذج يغطي إيراد </t>
    </r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Lohit Devanagari"/>
        <family val="2"/>
      </rPr>
      <t>المتكرر، رسوم التكامل لمرة واحدة، تكلفة الخدمة المتغيرة، التكاليف الثابتة، عدد العملاء، التدفق النقدي التشغيلي، والتدفق التراكمي بعد الاستثمار الأولي</t>
    </r>
    <r>
      <rPr>
        <sz val="11"/>
        <color theme="1"/>
        <rFont val="Calibri"/>
        <family val="2"/>
        <charset val="1"/>
      </rPr>
      <t>.</t>
    </r>
  </si>
  <si>
    <r>
      <rPr>
        <b/>
        <sz val="12"/>
        <rFont val="Lohit Devanagari"/>
        <family val="2"/>
      </rPr>
      <t xml:space="preserve">ملاحظة </t>
    </r>
    <r>
      <rPr>
        <b/>
        <sz val="12"/>
        <rFont val="Cambria"/>
        <charset val="1"/>
      </rPr>
      <t>Power BI</t>
    </r>
  </si>
  <si>
    <r>
      <rPr>
        <sz val="11"/>
        <color theme="1"/>
        <rFont val="Lohit Devanagari"/>
        <family val="2"/>
      </rPr>
      <t xml:space="preserve">لا يمكن إنشاء ملف </t>
    </r>
    <r>
      <rPr>
        <sz val="11"/>
        <color theme="1"/>
        <rFont val="Calibri"/>
        <family val="2"/>
        <charset val="1"/>
      </rPr>
      <t xml:space="preserve">PBIX </t>
    </r>
    <r>
      <rPr>
        <sz val="11"/>
        <color theme="1"/>
        <rFont val="Lohit Devanagari"/>
        <family val="2"/>
      </rPr>
      <t xml:space="preserve">أصلي مباشرة في هذه البيئة؛ تم تجهيز ملف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Lohit Devanagari"/>
        <family val="2"/>
      </rPr>
      <t xml:space="preserve">وملف </t>
    </r>
    <r>
      <rPr>
        <sz val="11"/>
        <color theme="1"/>
        <rFont val="Calibri"/>
        <family val="2"/>
        <charset val="1"/>
      </rPr>
      <t xml:space="preserve">CSV </t>
    </r>
    <r>
      <rPr>
        <sz val="11"/>
        <color theme="1"/>
        <rFont val="Lohit Devanagari"/>
        <family val="2"/>
      </rPr>
      <t xml:space="preserve">بشكل </t>
    </r>
    <r>
      <rPr>
        <sz val="11"/>
        <color theme="1"/>
        <rFont val="Calibri"/>
        <family val="2"/>
        <charset val="1"/>
      </rPr>
      <t>Power BI-ready</t>
    </r>
    <r>
      <rPr>
        <sz val="11"/>
        <color theme="1"/>
        <rFont val="Lohit Devanagari"/>
        <family val="2"/>
      </rPr>
      <t xml:space="preserve">، مع دليل استيراد ومقاييس </t>
    </r>
    <r>
      <rPr>
        <sz val="11"/>
        <color theme="1"/>
        <rFont val="Calibri"/>
        <family val="2"/>
        <charset val="1"/>
      </rPr>
      <t xml:space="preserve">DAX </t>
    </r>
    <r>
      <rPr>
        <sz val="11"/>
        <color theme="1"/>
        <rFont val="Lohit Devanagari"/>
        <family val="2"/>
      </rPr>
      <t>قابلة للنسخ</t>
    </r>
    <r>
      <rPr>
        <sz val="11"/>
        <color theme="1"/>
        <rFont val="Calibri"/>
        <family val="2"/>
        <charset val="1"/>
      </rPr>
      <t>.</t>
    </r>
  </si>
  <si>
    <t>SAEIS — Inputs &amp; Assumptions</t>
  </si>
  <si>
    <r>
      <rPr>
        <b/>
        <sz val="11"/>
        <rFont val="Lohit Devanagari"/>
        <family val="2"/>
      </rPr>
      <t>تعديل الافتراضات هنا فقط؛ الخلايا الزرقاء مدخلات يدوية</t>
    </r>
    <r>
      <rPr>
        <b/>
        <sz val="11"/>
        <rFont val="Cambria"/>
        <charset val="1"/>
      </rPr>
      <t>.</t>
    </r>
  </si>
  <si>
    <t>Unit: USD / clients / months</t>
  </si>
  <si>
    <t>Parameter</t>
  </si>
  <si>
    <t>Value</t>
  </si>
  <si>
    <t>Unit</t>
  </si>
  <si>
    <t>Status</t>
  </si>
  <si>
    <t>Source / note</t>
  </si>
  <si>
    <t>Initial funding / investment</t>
  </si>
  <si>
    <t>USD</t>
  </si>
  <si>
    <t>Known project input</t>
  </si>
  <si>
    <t>Pitch deck / updated funding slide; user-provided project assumption.</t>
  </si>
  <si>
    <t>SaaS price per active client / month</t>
  </si>
  <si>
    <t>USD / client / month</t>
  </si>
  <si>
    <t>Illustrative placeholder</t>
  </si>
  <si>
    <t>Illustrative placeholder for model mechanics; replace with signed pricing or management-approved pricing.</t>
  </si>
  <si>
    <t>One-time integration fee per new client</t>
  </si>
  <si>
    <t>USD / new client</t>
  </si>
  <si>
    <t>Illustrative placeholder; replace with quoted implementation pricing.</t>
  </si>
  <si>
    <t>Variable cost per active client / month</t>
  </si>
  <si>
    <t>Illustrative placeholder; replace with hosting, support, and usage cost evidence.</t>
  </si>
  <si>
    <t>Variable integration cost per new client</t>
  </si>
  <si>
    <t>Illustrative placeholder; replace with actual connector and implementation cost.</t>
  </si>
  <si>
    <t>Monthly fixed operating costs</t>
  </si>
  <si>
    <t>USD / month</t>
  </si>
  <si>
    <t>Illustrative placeholder; replace with payroll, tools, legal, and administration budget.</t>
  </si>
  <si>
    <t>Starting active clients</t>
  </si>
  <si>
    <t>clients</t>
  </si>
  <si>
    <t>Model input</t>
  </si>
  <si>
    <t>Modeling convention; replace with current contracted customers if any.</t>
  </si>
  <si>
    <t>New clients added per month</t>
  </si>
  <si>
    <t>clients / month</t>
  </si>
  <si>
    <t>Illustrative placeholder; replace with pipeline conversion evidence.</t>
  </si>
  <si>
    <t>Forecast months</t>
  </si>
  <si>
    <t>months</t>
  </si>
  <si>
    <t>Model convention</t>
  </si>
  <si>
    <t>Two-year operating view for a pre-seed planning dashboard.</t>
  </si>
  <si>
    <t>Target break-even clients from pitch deck</t>
  </si>
  <si>
    <t>Derived project target</t>
  </si>
  <si>
    <t>Midpoint of the 4–6 client target shown in the project pitch deck; not a verified forecast.</t>
  </si>
  <si>
    <t>Model interpretation</t>
  </si>
  <si>
    <t>The 4–6 client break-even target from the pitch deck is retained as a management target, while the calculated break-even uses the editable price, variable cost, and fixed cost assumptions above.</t>
  </si>
  <si>
    <t>SAEIS — Monthly Operating Model</t>
  </si>
  <si>
    <t>Forecast engine used by the Dashboard and Power BI export.</t>
  </si>
  <si>
    <t>Unit: USD / clients / month</t>
  </si>
  <si>
    <t>Metric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</si>
  <si>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</si>
  <si>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</si>
  <si>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</si>
  <si>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</si>
  <si>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</si>
  <si>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</si>
  <si>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</si>
  <si>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</si>
  <si>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</si>
  <si>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</si>
  <si>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</si>
  <si>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</si>
  <si>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</si>
  <si>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</si>
  <si>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</si>
  <si>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</si>
  <si>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</si>
  <si>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</si>
  <si>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</si>
  <si>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</si>
  <si>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</si>
  <si>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</si>
  <si>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</si>
  <si>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</si>
  <si>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New clients added</t>
  </si>
  <si>
    <t>Active clients</t>
  </si>
  <si>
    <t>SaaS revenue</t>
  </si>
  <si>
    <t>Integration revenue</t>
  </si>
  <si>
    <t>Total revenue</t>
  </si>
  <si>
    <t>Variable SaaS costs</t>
  </si>
  <si>
    <t>Variable integration costs</t>
  </si>
  <si>
    <t>Total variable costs</t>
  </si>
  <si>
    <t>Contribution profit</t>
  </si>
  <si>
    <t>Contribution margin %</t>
  </si>
  <si>
    <t>Fixed operating costs</t>
  </si>
  <si>
    <t>Operating cash flow</t>
  </si>
  <si>
    <t>Cumulative operating cash flow</t>
  </si>
  <si>
    <t>Cumulative project cash flow after initial investment</t>
  </si>
  <si>
    <t>Payback status</t>
  </si>
  <si>
    <t>SAEIS — Financial Dashboard</t>
  </si>
  <si>
    <r>
      <rPr>
        <b/>
        <sz val="11"/>
        <rFont val="Lohit Devanagari"/>
        <family val="2"/>
      </rPr>
      <t>لوحة موجزة للممولين</t>
    </r>
    <r>
      <rPr>
        <b/>
        <sz val="11"/>
        <rFont val="Cambria"/>
        <charset val="1"/>
      </rPr>
      <t xml:space="preserve">: </t>
    </r>
    <r>
      <rPr>
        <b/>
        <sz val="11"/>
        <rFont val="Lohit Devanagari"/>
        <family val="2"/>
      </rPr>
      <t>نقطة التعادل، الاسترداد، وهامش المساهمة</t>
    </r>
    <r>
      <rPr>
        <b/>
        <sz val="11"/>
        <rFont val="Cambria"/>
        <charset val="1"/>
      </rPr>
      <t>.</t>
    </r>
  </si>
  <si>
    <t>KPI</t>
  </si>
  <si>
    <t>Result</t>
  </si>
  <si>
    <t>Definition / interpretation</t>
  </si>
  <si>
    <t>Initial funding</t>
  </si>
  <si>
    <t>Investment to recover through operating cash flow.</t>
  </si>
  <si>
    <t>Monthly contribution / active client</t>
  </si>
  <si>
    <t>SaaS price less recurring variable service cost.</t>
  </si>
  <si>
    <t>Recurring contribution as a percentage of SaaS revenue.</t>
  </si>
  <si>
    <t>Calculated break-even clients</t>
  </si>
  <si>
    <t>Monthly fixed costs divided by recurring contribution per active client.</t>
  </si>
  <si>
    <t>Break-even recurring MRR</t>
  </si>
  <si>
    <t>Recurring SaaS revenue required to cover fixed costs.</t>
  </si>
  <si>
    <t>Payback period (months)</t>
  </si>
  <si>
    <t>First forecast month where project cash flow after initial investment is non-negative.</t>
  </si>
  <si>
    <t>Cumulative project cash flow at M24</t>
  </si>
  <si>
    <t>Cash generated after initial investment in the 24-month base case.</t>
  </si>
  <si>
    <t>Investor interpretation</t>
  </si>
  <si>
    <t>The calculated break-even and payback outputs are scenario-dependent. Replace all illustrative placeholders in Inputs before presenting these figures externally.</t>
  </si>
  <si>
    <t>Scenario</t>
  </si>
  <si>
    <t>Month</t>
  </si>
  <si>
    <t>New Clients</t>
  </si>
  <si>
    <t>Active Clients</t>
  </si>
  <si>
    <t>SaaS Revenue</t>
  </si>
  <si>
    <t>Integration Revenue</t>
  </si>
  <si>
    <t>Total Revenue</t>
  </si>
  <si>
    <t>Variable Costs</t>
  </si>
  <si>
    <t>Contribution Profit</t>
  </si>
  <si>
    <t>Contribution Margin %</t>
  </si>
  <si>
    <t>Fixed Operating Costs</t>
  </si>
  <si>
    <t>Operating Cash Flow</t>
  </si>
  <si>
    <t>Cumulative Project Cash Flow</t>
  </si>
  <si>
    <t>Illustrative Base Case</t>
  </si>
  <si>
    <t>SAEIS — Break-even Sensitivity</t>
  </si>
  <si>
    <r>
      <rPr>
        <b/>
        <sz val="11"/>
        <rFont val="Lohit Devanagari"/>
        <family val="2"/>
      </rPr>
      <t>اختبار حساسية نقطة التعادل عند تغيير السعر والتكلفة المتغيرة</t>
    </r>
    <r>
      <rPr>
        <b/>
        <sz val="11"/>
        <rFont val="Cambria"/>
        <charset val="1"/>
      </rPr>
      <t>.</t>
    </r>
  </si>
  <si>
    <t>Unit: Clients</t>
  </si>
  <si>
    <t>Monthly fixed cost / SaaS price</t>
  </si>
  <si>
    <t>Note: This grid is a scenario analysis using current illustrative variable cost assumptions. Replace price and cost values with approved commercial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</si>
</sst>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;\-"/>
    <numFmt numFmtId="165" formatCode="#,##0.0"/>
    <numFmt numFmtId="166" formatCode="0.0"/>
    <numFmt numFmtId="167" formatCode="0.0%"/>
    <numFmt numFmtId="168" formatCode="\$#,##0"/>
  </numFmts>
  <fonts count="14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2"/>
      <name val="Lohit Devanagari"/>
      <family val="2"/>
    </font>
    <font>
      <sz val="11"/>
      <color theme="1"/>
      <name val="Lohit Devanagari"/>
      <family val="2"/>
    </font>
    <font>
      <b/>
      <sz val="12"/>
      <color rgb="FFC00000"/>
      <name val="Lohit Devanagari"/>
      <family val="2"/>
    </font>
    <font>
      <b/>
      <sz val="12"/>
      <name val="Cambria"/>
      <charset val="1"/>
    </font>
    <font>
      <b/>
      <sz val="11"/>
      <name val="Lohit Devanagari"/>
      <family val="2"/>
    </font>
    <font>
      <b/>
      <sz val="11"/>
      <name val="Cambria"/>
      <charset val="1"/>
    </font>
    <font>
      <i/>
      <sz val="10"/>
      <color rgb="FF666666"/>
      <name val="Cambria"/>
      <charset val="1"/>
    </font>
    <font>
      <sz val="11"/>
      <color rgb="FF0000FF"/>
      <name val="Cambria"/>
      <charset val="1"/>
    </font>
    <font>
      <sz val="10"/>
      <name val="Arial"/>
      <family val="2"/>
    </font>
    <font>
      <sz val="11"/>
      <name val="Cambria"/>
      <charset val="1"/>
    </font>
    <font>
      <sz val="11"/>
      <color rgb="FF008000"/>
      <name val="Cambria"/>
      <charset val="1"/>
    </font>
    <font>
      <sz val="11"/>
      <color rgb="FF0000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35B44"/>
        <bgColor rgb="FF333333"/>
      </patternFill>
    </fill>
    <fill>
      <patternFill patternType="solid">
        <fgColor rgb="FFCFE9E0"/>
        <bgColor rgb="FFD9E2F3"/>
      </patternFill>
    </fill>
    <fill>
      <patternFill patternType="solid">
        <fgColor rgb="FFEEF5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35B44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164" fontId="9" fillId="4" borderId="2" xfId="0" applyNumberFormat="1" applyFont="1" applyFill="1" applyBorder="1" applyAlignment="1">
      <alignment horizontal="left" vertical="center" wrapText="1"/>
    </xf>
    <xf numFmtId="165" fontId="9" fillId="4" borderId="2" xfId="0" applyNumberFormat="1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166" fontId="12" fillId="0" borderId="0" xfId="0" applyNumberFormat="1" applyFont="1" applyBorder="1" applyAlignment="1">
      <alignment horizontal="right" vertical="center" wrapText="1"/>
    </xf>
    <xf numFmtId="164" fontId="12" fillId="0" borderId="0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left" vertical="center" wrapText="1"/>
    </xf>
    <xf numFmtId="164" fontId="13" fillId="0" borderId="3" xfId="0" applyNumberFormat="1" applyFont="1" applyBorder="1" applyAlignment="1">
      <alignment horizontal="right" vertical="center" wrapText="1"/>
    </xf>
    <xf numFmtId="167" fontId="13" fillId="0" borderId="0" xfId="0" applyNumberFormat="1" applyFont="1" applyBorder="1" applyAlignment="1">
      <alignment horizontal="right" vertical="center" wrapText="1"/>
    </xf>
    <xf numFmtId="164" fontId="13" fillId="0" borderId="0" xfId="0" applyNumberFormat="1" applyFont="1" applyBorder="1" applyAlignment="1">
      <alignment horizontal="right" vertical="center" wrapText="1"/>
    </xf>
    <xf numFmtId="164" fontId="12" fillId="0" borderId="3" xfId="0" applyNumberFormat="1" applyFont="1" applyBorder="1" applyAlignment="1">
      <alignment horizontal="right" vertical="center" wrapText="1"/>
    </xf>
    <xf numFmtId="0" fontId="13" fillId="0" borderId="0" xfId="0" applyFont="1" applyBorder="1" applyAlignment="1">
      <alignment horizontal="right" vertical="center" wrapText="1"/>
    </xf>
    <xf numFmtId="164" fontId="12" fillId="0" borderId="2" xfId="0" applyNumberFormat="1" applyFont="1" applyBorder="1" applyAlignment="1">
      <alignment horizontal="right" vertical="center" wrapText="1"/>
    </xf>
    <xf numFmtId="167" fontId="12" fillId="0" borderId="2" xfId="0" applyNumberFormat="1" applyFont="1" applyBorder="1" applyAlignment="1">
      <alignment horizontal="right" vertical="center" wrapText="1"/>
    </xf>
    <xf numFmtId="166" fontId="12" fillId="0" borderId="2" xfId="0" applyNumberFormat="1" applyFont="1" applyBorder="1" applyAlignment="1">
      <alignment horizontal="right" vertical="center" wrapText="1"/>
    </xf>
    <xf numFmtId="0" fontId="13" fillId="0" borderId="2" xfId="0" applyFont="1" applyBorder="1" applyAlignment="1">
      <alignment horizontal="left" vertical="center" wrapText="1"/>
    </xf>
    <xf numFmtId="166" fontId="13" fillId="0" borderId="2" xfId="0" applyNumberFormat="1" applyFont="1" applyBorder="1" applyAlignment="1">
      <alignment horizontal="left" vertical="center" wrapText="1"/>
    </xf>
    <xf numFmtId="164" fontId="13" fillId="0" borderId="2" xfId="0" applyNumberFormat="1" applyFont="1" applyBorder="1" applyAlignment="1">
      <alignment horizontal="left" vertical="center" wrapText="1"/>
    </xf>
    <xf numFmtId="167" fontId="13" fillId="0" borderId="2" xfId="0" applyNumberFormat="1" applyFont="1" applyBorder="1" applyAlignment="1">
      <alignment horizontal="left" vertical="center" wrapText="1"/>
    </xf>
    <xf numFmtId="168" fontId="7" fillId="3" borderId="0" xfId="0" applyNumberFormat="1" applyFont="1" applyFill="1" applyAlignment="1">
      <alignment horizontal="left" vertical="center" wrapText="1"/>
    </xf>
    <xf numFmtId="166" fontId="0" fillId="0" borderId="0" xfId="0" applyNumberFormat="1" applyAlignment="1">
      <alignment horizontal="right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992"/>
      <rgbColor rgb="FF878787"/>
      <rgbColor rgb="FF9999FF"/>
      <rgbColor rgb="FFAA433F"/>
      <rgbColor rgb="FFFFFFCC"/>
      <rgbColor rgb="FFEEF5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FE9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87A44B"/>
      <rgbColor rgb="FF135B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vs. operating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Operating_Model!$D$8:$AA$8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Operating_Model!$D$13:$AA$13</c:f>
              <c:numCache>
                <c:formatCode>\$#,##0;"($"#,##0\);\-</c:formatCode>
                <c:ptCount val="24"/>
                <c:pt idx="0">
                  <c:v>4500</c:v>
                </c:pt>
                <c:pt idx="1">
                  <c:v>6000</c:v>
                </c:pt>
                <c:pt idx="2">
                  <c:v>7500</c:v>
                </c:pt>
                <c:pt idx="3">
                  <c:v>9000</c:v>
                </c:pt>
                <c:pt idx="4">
                  <c:v>10500</c:v>
                </c:pt>
                <c:pt idx="5">
                  <c:v>12000</c:v>
                </c:pt>
                <c:pt idx="6">
                  <c:v>13500</c:v>
                </c:pt>
                <c:pt idx="7">
                  <c:v>15000</c:v>
                </c:pt>
                <c:pt idx="8">
                  <c:v>16500</c:v>
                </c:pt>
                <c:pt idx="9">
                  <c:v>18000</c:v>
                </c:pt>
                <c:pt idx="10">
                  <c:v>19500</c:v>
                </c:pt>
                <c:pt idx="11">
                  <c:v>21000</c:v>
                </c:pt>
                <c:pt idx="12">
                  <c:v>22500</c:v>
                </c:pt>
                <c:pt idx="13">
                  <c:v>24000</c:v>
                </c:pt>
                <c:pt idx="14">
                  <c:v>25500</c:v>
                </c:pt>
                <c:pt idx="15">
                  <c:v>27000</c:v>
                </c:pt>
                <c:pt idx="16">
                  <c:v>28500</c:v>
                </c:pt>
                <c:pt idx="17">
                  <c:v>30000</c:v>
                </c:pt>
                <c:pt idx="18">
                  <c:v>31500</c:v>
                </c:pt>
                <c:pt idx="19">
                  <c:v>33000</c:v>
                </c:pt>
                <c:pt idx="20">
                  <c:v>34500</c:v>
                </c:pt>
                <c:pt idx="21">
                  <c:v>36000</c:v>
                </c:pt>
                <c:pt idx="22">
                  <c:v>37500</c:v>
                </c:pt>
                <c:pt idx="23">
                  <c:v>39000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FF-4880-9159-25416F40653E}"/>
            </c:ext>
          </c:extLst>
        </c:ser>
        <c:ser>
          <c:idx val="1"/>
          <c:order val="1"/>
          <c:spPr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Operating_Model!$D$8:$AA$8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Operating_Model!$D$20:$AA$20</c:f>
              <c:numCache>
                <c:formatCode>\$#,##0;"($"#,##0\);\-</c:formatCode>
                <c:ptCount val="24"/>
                <c:pt idx="0">
                  <c:v>-1100</c:v>
                </c:pt>
                <c:pt idx="1">
                  <c:v>100</c:v>
                </c:pt>
                <c:pt idx="2">
                  <c:v>1300</c:v>
                </c:pt>
                <c:pt idx="3">
                  <c:v>2500</c:v>
                </c:pt>
                <c:pt idx="4">
                  <c:v>3700</c:v>
                </c:pt>
                <c:pt idx="5">
                  <c:v>4900</c:v>
                </c:pt>
                <c:pt idx="6">
                  <c:v>6100</c:v>
                </c:pt>
                <c:pt idx="7">
                  <c:v>7300</c:v>
                </c:pt>
                <c:pt idx="8">
                  <c:v>8500</c:v>
                </c:pt>
                <c:pt idx="9">
                  <c:v>9700</c:v>
                </c:pt>
                <c:pt idx="10">
                  <c:v>10900</c:v>
                </c:pt>
                <c:pt idx="11">
                  <c:v>12100</c:v>
                </c:pt>
                <c:pt idx="12">
                  <c:v>13300</c:v>
                </c:pt>
                <c:pt idx="13">
                  <c:v>14500</c:v>
                </c:pt>
                <c:pt idx="14">
                  <c:v>15700</c:v>
                </c:pt>
                <c:pt idx="15">
                  <c:v>16900</c:v>
                </c:pt>
                <c:pt idx="16">
                  <c:v>18100</c:v>
                </c:pt>
                <c:pt idx="17">
                  <c:v>19300</c:v>
                </c:pt>
                <c:pt idx="18">
                  <c:v>20500</c:v>
                </c:pt>
                <c:pt idx="19">
                  <c:v>21700</c:v>
                </c:pt>
                <c:pt idx="20">
                  <c:v>22900</c:v>
                </c:pt>
                <c:pt idx="21">
                  <c:v>24100</c:v>
                </c:pt>
                <c:pt idx="22">
                  <c:v>25300</c:v>
                </c:pt>
                <c:pt idx="23">
                  <c:v>26500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FF-4880-9159-25416F406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447113"/>
        <c:axId val="45168835"/>
      </c:lineChart>
      <c:catAx>
        <c:axId val="154471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168835"/>
        <c:crosses val="autoZero"/>
        <c:auto val="1"/>
        <c:lblAlgn val="ctr"/>
        <c:lblOffset val="100"/>
        <c:noMultiLvlLbl val="0"/>
      </c:catAx>
      <c:valAx>
        <c:axId val="451688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4471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Active clients and cumulative project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Operating_Model!$D$8:$AA$8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Operating_Model!$D$10:$AA$10</c:f>
              <c:numCache>
                <c:formatCode>0.0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E7-40D7-AAC0-2928F4E30FAB}"/>
            </c:ext>
          </c:extLst>
        </c:ser>
        <c:ser>
          <c:idx val="1"/>
          <c:order val="1"/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Operating_Model!$D$8:$AA$8</c:f>
              <c:strCache>
                <c:ptCount val="2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  <c:pt idx="12">
                  <c:v>M13</c:v>
                </c:pt>
                <c:pt idx="13">
                  <c:v>M14</c:v>
                </c:pt>
                <c:pt idx="14">
                  <c:v>M15</c:v>
                </c:pt>
                <c:pt idx="15">
                  <c:v>M16</c:v>
                </c:pt>
                <c:pt idx="16">
                  <c:v>M17</c:v>
                </c:pt>
                <c:pt idx="17">
                  <c:v>M18</c:v>
                </c:pt>
                <c:pt idx="18">
                  <c:v>M19</c:v>
                </c:pt>
                <c:pt idx="19">
                  <c:v>M20</c:v>
                </c:pt>
                <c:pt idx="20">
                  <c:v>M21</c:v>
                </c:pt>
                <c:pt idx="21">
                  <c:v>M22</c:v>
                </c:pt>
                <c:pt idx="22">
                  <c:v>M23</c:v>
                </c:pt>
                <c:pt idx="23">
                  <c:v>M24</c:v>
                </c:pt>
              </c:strCache>
            </c:strRef>
          </c:cat>
          <c:val>
            <c:numRef>
              <c:f>Operating_Model!$D$22:$AA$22</c:f>
              <c:numCache>
                <c:formatCode>\$#,##0;"($"#,##0\);\-</c:formatCode>
                <c:ptCount val="24"/>
                <c:pt idx="0">
                  <c:v>-27600</c:v>
                </c:pt>
                <c:pt idx="1">
                  <c:v>-27500</c:v>
                </c:pt>
                <c:pt idx="2">
                  <c:v>-26200</c:v>
                </c:pt>
                <c:pt idx="3">
                  <c:v>-23700</c:v>
                </c:pt>
                <c:pt idx="4">
                  <c:v>-20000</c:v>
                </c:pt>
                <c:pt idx="5">
                  <c:v>-15100</c:v>
                </c:pt>
                <c:pt idx="6">
                  <c:v>-9000</c:v>
                </c:pt>
                <c:pt idx="7">
                  <c:v>-1700</c:v>
                </c:pt>
                <c:pt idx="8">
                  <c:v>6800</c:v>
                </c:pt>
                <c:pt idx="9">
                  <c:v>16500</c:v>
                </c:pt>
                <c:pt idx="10">
                  <c:v>27400</c:v>
                </c:pt>
                <c:pt idx="11">
                  <c:v>39500</c:v>
                </c:pt>
                <c:pt idx="12">
                  <c:v>52800</c:v>
                </c:pt>
                <c:pt idx="13">
                  <c:v>67300</c:v>
                </c:pt>
                <c:pt idx="14">
                  <c:v>83000</c:v>
                </c:pt>
                <c:pt idx="15">
                  <c:v>99900</c:v>
                </c:pt>
                <c:pt idx="16">
                  <c:v>118000</c:v>
                </c:pt>
                <c:pt idx="17">
                  <c:v>137300</c:v>
                </c:pt>
                <c:pt idx="18">
                  <c:v>157800</c:v>
                </c:pt>
                <c:pt idx="19">
                  <c:v>179500</c:v>
                </c:pt>
                <c:pt idx="20">
                  <c:v>202400</c:v>
                </c:pt>
                <c:pt idx="21">
                  <c:v>226500</c:v>
                </c:pt>
                <c:pt idx="22">
                  <c:v>251800</c:v>
                </c:pt>
                <c:pt idx="23">
                  <c:v>278300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E7-40D7-AAC0-2928F4E30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8368228"/>
        <c:axId val="10183750"/>
      </c:lineChart>
      <c:catAx>
        <c:axId val="28368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83750"/>
        <c:crosses val="autoZero"/>
        <c:auto val="1"/>
        <c:lblAlgn val="ctr"/>
        <c:lblOffset val="100"/>
        <c:noMultiLvlLbl val="0"/>
      </c:catAx>
      <c:valAx>
        <c:axId val="101837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Clients / 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368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571680</xdr:rowOff>
    </xdr:from>
    <xdr:to>
      <xdr:col>10</xdr:col>
      <xdr:colOff>559080</xdr:colOff>
      <xdr:row>11</xdr:row>
      <xdr:rowOff>156420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227160</xdr:rowOff>
    </xdr:from>
    <xdr:to>
      <xdr:col>10</xdr:col>
      <xdr:colOff>559080</xdr:colOff>
      <xdr:row>28</xdr:row>
      <xdr:rowOff>175110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sTable" displayName="InputsTable" ref="C8:G18" totalsRowShown="0">
  <autoFilter ref="C8:G18" xr:uid="{00000000-0009-0000-0100-000001000000}"/>
  <tableColumns count="5">
    <tableColumn id="1" xr3:uid="{00000000-0010-0000-0000-000001000000}" name="Parameter"/>
    <tableColumn id="2" xr3:uid="{00000000-0010-0000-0000-000002000000}" name="Value"/>
    <tableColumn id="3" xr3:uid="{00000000-0010-0000-0000-000003000000}" name="Unit"/>
    <tableColumn id="4" xr3:uid="{00000000-0010-0000-0000-000004000000}" name="Status"/>
    <tableColumn id="5" xr3:uid="{00000000-0010-0000-0000-000005000000}" name="Source /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werBIExportTable" displayName="PowerBIExportTable" ref="C8:O32" totalsRowShown="0">
  <autoFilter ref="C8:O32" xr:uid="{00000000-0009-0000-0100-000002000000}"/>
  <tableColumns count="13">
    <tableColumn id="1" xr3:uid="{00000000-0010-0000-0100-000001000000}" name="Scenario"/>
    <tableColumn id="2" xr3:uid="{00000000-0010-0000-0100-000002000000}" name="Month"/>
    <tableColumn id="3" xr3:uid="{00000000-0010-0000-0100-000003000000}" name="New Clients"/>
    <tableColumn id="4" xr3:uid="{00000000-0010-0000-0100-000004000000}" name="Active Clients"/>
    <tableColumn id="5" xr3:uid="{00000000-0010-0000-0100-000005000000}" name="SaaS Revenue"/>
    <tableColumn id="6" xr3:uid="{00000000-0010-0000-0100-000006000000}" name="Integration Revenue"/>
    <tableColumn id="7" xr3:uid="{00000000-0010-0000-0100-000007000000}" name="Total Revenue"/>
    <tableColumn id="8" xr3:uid="{00000000-0010-0000-0100-000008000000}" name="Variable Costs"/>
    <tableColumn id="9" xr3:uid="{00000000-0010-0000-0100-000009000000}" name="Contribution Profit"/>
    <tableColumn id="10" xr3:uid="{00000000-0010-0000-0100-00000A000000}" name="Contribution Margin %"/>
    <tableColumn id="11" xr3:uid="{00000000-0010-0000-0100-00000B000000}" name="Fixed Operating Costs"/>
    <tableColumn id="12" xr3:uid="{00000000-0010-0000-0100-00000C000000}" name="Operating Cash Flow"/>
    <tableColumn id="13" xr3:uid="{00000000-0010-0000-0100-00000D000000}" name="Cumulative Project Cash Flow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27"/>
  <sheetViews>
    <sheetView showGridLines="0" tabSelected="1" zoomScaleNormal="100" workbookViewId="0"/>
  </sheetViews>
  <sheetFormatPr defaultColWidth="8.5703125" defaultRowHeight="15"/>
  <cols>
    <col min="3" max="6" width="30" customWidth="1"/>
    <col min="7" max="7" width="20" customWidth="1"/>
    <col min="8" max="10" width="18" customWidth="1"/>
  </cols>
  <sheetData>
    <row r="1" spans="3:10" ht="21.75" customHeight="1"/>
    <row r="2" spans="3:10" ht="21.75" customHeight="1"/>
    <row r="3" spans="3:10" ht="24" customHeight="1">
      <c r="C3" s="2" t="s">
        <v>0</v>
      </c>
      <c r="D3" s="2"/>
      <c r="E3" s="2"/>
      <c r="F3" s="2"/>
      <c r="G3" s="2"/>
      <c r="H3" s="2"/>
      <c r="I3" s="2"/>
      <c r="J3" s="2"/>
    </row>
    <row r="4" spans="3:10" ht="21.75" customHeight="1"/>
    <row r="5" spans="3:10" ht="21.75" customHeight="1">
      <c r="C5" s="3" t="s">
        <v>1</v>
      </c>
    </row>
    <row r="6" spans="3:10" ht="21.75" customHeight="1">
      <c r="C6" s="4" t="s">
        <v>2</v>
      </c>
    </row>
    <row r="7" spans="3:10" ht="21.75" customHeight="1"/>
    <row r="8" spans="3:10" ht="21" customHeight="1">
      <c r="C8" s="5" t="s">
        <v>3</v>
      </c>
    </row>
    <row r="9" spans="3:10" ht="21" customHeight="1">
      <c r="C9" s="4" t="s">
        <v>4</v>
      </c>
    </row>
    <row r="10" spans="3:10" ht="21" customHeight="1"/>
    <row r="11" spans="3:10" ht="21" customHeight="1">
      <c r="C11" s="3" t="s">
        <v>5</v>
      </c>
    </row>
    <row r="12" spans="3:10" ht="21" customHeight="1">
      <c r="C12" s="6" t="s">
        <v>6</v>
      </c>
    </row>
    <row r="13" spans="3:10" ht="21" customHeight="1"/>
    <row r="14" spans="3:10" ht="21" customHeight="1">
      <c r="C14" s="3" t="s">
        <v>7</v>
      </c>
    </row>
    <row r="15" spans="3:10" ht="21" customHeight="1">
      <c r="C15" s="4" t="s">
        <v>8</v>
      </c>
    </row>
    <row r="16" spans="3:10" ht="21" customHeight="1"/>
    <row r="17" spans="3:3" ht="21" customHeight="1">
      <c r="C17" s="3" t="s">
        <v>9</v>
      </c>
    </row>
    <row r="18" spans="3:3" ht="21" customHeight="1">
      <c r="C18" s="4" t="s">
        <v>10</v>
      </c>
    </row>
    <row r="19" spans="3:3" ht="21" customHeight="1"/>
    <row r="20" spans="3:3" ht="21" customHeight="1">
      <c r="C20" s="3" t="s">
        <v>11</v>
      </c>
    </row>
    <row r="21" spans="3:3" ht="21" customHeight="1">
      <c r="C21" s="4" t="s">
        <v>12</v>
      </c>
    </row>
    <row r="22" spans="3:3" ht="21.75" customHeight="1"/>
    <row r="23" spans="3:3" ht="21.75" customHeight="1"/>
    <row r="24" spans="3:3" ht="21.75" customHeight="1"/>
    <row r="25" spans="3:3" ht="21.75" customHeight="1"/>
    <row r="26" spans="3:3" ht="21.75" customHeight="1"/>
    <row r="27" spans="3:3" ht="21.75" customHeight="1"/>
  </sheetData>
  <mergeCells count="1">
    <mergeCell ref="C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3:J23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ColWidth="8.5703125" defaultRowHeight="15"/>
  <cols>
    <col min="1" max="2" width="20" customWidth="1"/>
    <col min="3" max="39" width="14" customWidth="1"/>
  </cols>
  <sheetData>
    <row r="3" spans="3:10" ht="24" customHeight="1">
      <c r="C3" s="2" t="s">
        <v>13</v>
      </c>
      <c r="D3" s="2"/>
      <c r="E3" s="2"/>
      <c r="F3" s="2"/>
      <c r="G3" s="2"/>
      <c r="H3" s="2"/>
      <c r="I3" s="2"/>
      <c r="J3" s="2"/>
    </row>
    <row r="5" spans="3:10" ht="60">
      <c r="C5" s="7" t="s">
        <v>14</v>
      </c>
    </row>
    <row r="6" spans="3:10" ht="25.5">
      <c r="C6" s="8" t="s">
        <v>15</v>
      </c>
    </row>
    <row r="8" spans="3:10" ht="21" customHeight="1">
      <c r="C8" s="9" t="s">
        <v>16</v>
      </c>
      <c r="D8" s="9" t="s">
        <v>17</v>
      </c>
      <c r="E8" s="9" t="s">
        <v>18</v>
      </c>
      <c r="F8" s="9" t="s">
        <v>19</v>
      </c>
      <c r="G8" s="9" t="s">
        <v>20</v>
      </c>
    </row>
    <row r="9" spans="3:10" ht="21" customHeight="1">
      <c r="C9" s="10" t="s">
        <v>21</v>
      </c>
      <c r="D9" s="11">
        <v>26500</v>
      </c>
      <c r="E9" s="10" t="s">
        <v>22</v>
      </c>
      <c r="F9" s="10" t="s">
        <v>23</v>
      </c>
      <c r="G9" s="10" t="s">
        <v>24</v>
      </c>
    </row>
    <row r="10" spans="3:10" ht="21" customHeight="1">
      <c r="C10" s="10" t="s">
        <v>25</v>
      </c>
      <c r="D10" s="11">
        <v>1500</v>
      </c>
      <c r="E10" s="10" t="s">
        <v>26</v>
      </c>
      <c r="F10" s="10" t="s">
        <v>27</v>
      </c>
      <c r="G10" s="10" t="s">
        <v>28</v>
      </c>
    </row>
    <row r="11" spans="3:10" ht="21" customHeight="1">
      <c r="C11" s="10" t="s">
        <v>29</v>
      </c>
      <c r="D11" s="11">
        <v>3000</v>
      </c>
      <c r="E11" s="10" t="s">
        <v>30</v>
      </c>
      <c r="F11" s="10" t="s">
        <v>27</v>
      </c>
      <c r="G11" s="10" t="s">
        <v>31</v>
      </c>
    </row>
    <row r="12" spans="3:10" ht="21" customHeight="1">
      <c r="C12" s="10" t="s">
        <v>32</v>
      </c>
      <c r="D12" s="11">
        <v>300</v>
      </c>
      <c r="E12" s="10" t="s">
        <v>26</v>
      </c>
      <c r="F12" s="10" t="s">
        <v>27</v>
      </c>
      <c r="G12" s="10" t="s">
        <v>33</v>
      </c>
    </row>
    <row r="13" spans="3:10" ht="21" customHeight="1">
      <c r="C13" s="10" t="s">
        <v>34</v>
      </c>
      <c r="D13" s="11">
        <v>800</v>
      </c>
      <c r="E13" s="10" t="s">
        <v>30</v>
      </c>
      <c r="F13" s="10" t="s">
        <v>27</v>
      </c>
      <c r="G13" s="10" t="s">
        <v>35</v>
      </c>
    </row>
    <row r="14" spans="3:10" ht="21" customHeight="1">
      <c r="C14" s="10" t="s">
        <v>36</v>
      </c>
      <c r="D14" s="11">
        <v>4500</v>
      </c>
      <c r="E14" s="10" t="s">
        <v>37</v>
      </c>
      <c r="F14" s="10" t="s">
        <v>27</v>
      </c>
      <c r="G14" s="10" t="s">
        <v>38</v>
      </c>
    </row>
    <row r="15" spans="3:10" ht="21" customHeight="1">
      <c r="C15" s="10" t="s">
        <v>39</v>
      </c>
      <c r="D15" s="12">
        <v>0</v>
      </c>
      <c r="E15" s="10" t="s">
        <v>40</v>
      </c>
      <c r="F15" s="10" t="s">
        <v>41</v>
      </c>
      <c r="G15" s="10" t="s">
        <v>42</v>
      </c>
    </row>
    <row r="16" spans="3:10" ht="21" customHeight="1">
      <c r="C16" s="10" t="s">
        <v>43</v>
      </c>
      <c r="D16" s="12">
        <v>1</v>
      </c>
      <c r="E16" s="10" t="s">
        <v>44</v>
      </c>
      <c r="F16" s="10" t="s">
        <v>27</v>
      </c>
      <c r="G16" s="10" t="s">
        <v>45</v>
      </c>
    </row>
    <row r="17" spans="3:7" ht="21" customHeight="1">
      <c r="C17" s="10" t="s">
        <v>46</v>
      </c>
      <c r="D17" s="12">
        <v>24</v>
      </c>
      <c r="E17" s="10" t="s">
        <v>47</v>
      </c>
      <c r="F17" s="10" t="s">
        <v>48</v>
      </c>
      <c r="G17" s="10" t="s">
        <v>49</v>
      </c>
    </row>
    <row r="18" spans="3:7" ht="21" customHeight="1">
      <c r="C18" s="10" t="s">
        <v>50</v>
      </c>
      <c r="D18" s="12">
        <v>5</v>
      </c>
      <c r="E18" s="10" t="s">
        <v>40</v>
      </c>
      <c r="F18" s="10" t="s">
        <v>51</v>
      </c>
      <c r="G18" s="10" t="s">
        <v>52</v>
      </c>
    </row>
    <row r="19" spans="3:7" ht="21" customHeight="1"/>
    <row r="20" spans="3:7" ht="21" customHeight="1"/>
    <row r="21" spans="3:7" ht="21" customHeight="1">
      <c r="C21" s="13" t="s">
        <v>53</v>
      </c>
    </row>
    <row r="22" spans="3:7" ht="21" customHeight="1">
      <c r="C22" s="1" t="s">
        <v>54</v>
      </c>
      <c r="D22" s="1"/>
      <c r="E22" s="1"/>
      <c r="F22" s="1"/>
      <c r="G22" s="1"/>
    </row>
    <row r="23" spans="3:7" ht="21" customHeight="1">
      <c r="C23" s="1"/>
      <c r="D23" s="1"/>
      <c r="E23" s="1"/>
      <c r="F23" s="1"/>
      <c r="G23" s="1"/>
    </row>
  </sheetData>
  <mergeCells count="2">
    <mergeCell ref="C3:J3"/>
    <mergeCell ref="C22:G23"/>
  </mergeCells>
  <pageMargins left="0.75" right="0.75" top="1" bottom="1" header="0.511811023622047" footer="0.5"/>
  <pageSetup fitToHeight="0" orientation="landscape" horizontalDpi="300" verticalDpi="300"/>
  <headerFooter>
    <oddFooter>&amp;C&amp;A | Page &amp;P of &amp;N</oddFooter>
  </headerFooter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3:AA23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8.5703125" defaultRowHeight="15"/>
  <cols>
    <col min="1" max="2" width="20" customWidth="1"/>
    <col min="3" max="39" width="14" customWidth="1"/>
  </cols>
  <sheetData>
    <row r="3" spans="3:27" ht="24" customHeight="1">
      <c r="C3" s="2" t="s">
        <v>55</v>
      </c>
      <c r="D3" s="2"/>
      <c r="E3" s="2"/>
      <c r="F3" s="2"/>
      <c r="G3" s="2"/>
      <c r="H3" s="2"/>
      <c r="I3" s="2"/>
      <c r="J3" s="2"/>
    </row>
    <row r="5" spans="3:27" ht="85.5">
      <c r="C5" s="14" t="s">
        <v>56</v>
      </c>
    </row>
    <row r="6" spans="3:27" ht="25.5">
      <c r="C6" s="8" t="s">
        <v>57</v>
      </c>
    </row>
    <row r="8" spans="3:27" ht="21" customHeight="1">
      <c r="C8" s="13" t="s">
        <v>58</v>
      </c>
      <c r="D8" s="15" t="s">
        <v>59</v>
      </c>
      <c r="E8" s="15" t="s">
        <v>60</v>
      </c>
      <c r="F8" s="15" t="s">
        <v>61</v>
      </c>
      <c r="G8" s="15" t="s">
        <v>62</v>
      </c>
      <c r="H8" s="15" t="s">
        <v>63</v>
      </c>
      <c r="I8" s="15" t="s">
        <v>64</v>
      </c>
      <c r="J8" s="15" t="s">
        <v>65</v>
      </c>
      <c r="K8" s="15" t="s">
        <v>66</v>
      </c>
      <c r="L8" s="15" t="s">
        <v>67</v>
      </c>
      <c r="M8" s="15" t="s">
        <v>68</v>
      </c>
      <c r="N8" s="15" t="s">
        <v>69</v>
      </c>
      <c r="O8" s="15" t="s">
        <v>70</v>
      </c>
      <c r="P8" s="15" t="s">
        <v>71</v>
      </c>
      <c r="Q8" s="15" t="s">
        <v>72</v>
      </c>
      <c r="R8" s="15" t="s">
        <v>73</v>
      </c>
      <c r="S8" s="15" t="s">
        <v>74</v>
      </c>
      <c r="T8" s="15" t="s">
        <v>75</v>
      </c>
      <c r="U8" s="15" t="s">
        <v>76</v>
      </c>
      <c r="V8" s="15" t="s">
        <v>77</v>
      </c>
      <c r="W8" s="15" t="s">
        <v>78</v>
      </c>
      <c r="X8" s="15" t="s">
        <v>79</v>
      </c>
      <c r="Y8" s="15" t="s">
        <v>80</v>
      </c>
      <c r="Z8" s="15" t="s">
        <v>81</v>
      </c>
      <c r="AA8" s="15" t="s">
        <v>82</v>
      </c>
    </row>
    <row r="9" spans="3:27" ht="21" customHeight="1">
      <c r="C9" s="16" t="s">
        <v>83</v>
      </c>
      <c r="D9" s="17">
        <f>Inputs!$D$16</f>
        <v>1</v>
      </c>
      <c r="E9" s="17">
        <f>Inputs!$D$16</f>
        <v>1</v>
      </c>
      <c r="F9" s="17">
        <f>Inputs!$D$16</f>
        <v>1</v>
      </c>
      <c r="G9" s="17">
        <f>Inputs!$D$16</f>
        <v>1</v>
      </c>
      <c r="H9" s="17">
        <f>Inputs!$D$16</f>
        <v>1</v>
      </c>
      <c r="I9" s="17">
        <f>Inputs!$D$16</f>
        <v>1</v>
      </c>
      <c r="J9" s="17">
        <f>Inputs!$D$16</f>
        <v>1</v>
      </c>
      <c r="K9" s="17">
        <f>Inputs!$D$16</f>
        <v>1</v>
      </c>
      <c r="L9" s="17">
        <f>Inputs!$D$16</f>
        <v>1</v>
      </c>
      <c r="M9" s="17">
        <f>Inputs!$D$16</f>
        <v>1</v>
      </c>
      <c r="N9" s="17">
        <f>Inputs!$D$16</f>
        <v>1</v>
      </c>
      <c r="O9" s="17">
        <f>Inputs!$D$16</f>
        <v>1</v>
      </c>
      <c r="P9" s="17">
        <f>Inputs!$D$16</f>
        <v>1</v>
      </c>
      <c r="Q9" s="17">
        <f>Inputs!$D$16</f>
        <v>1</v>
      </c>
      <c r="R9" s="17">
        <f>Inputs!$D$16</f>
        <v>1</v>
      </c>
      <c r="S9" s="17">
        <f>Inputs!$D$16</f>
        <v>1</v>
      </c>
      <c r="T9" s="17">
        <f>Inputs!$D$16</f>
        <v>1</v>
      </c>
      <c r="U9" s="17">
        <f>Inputs!$D$16</f>
        <v>1</v>
      </c>
      <c r="V9" s="17">
        <f>Inputs!$D$16</f>
        <v>1</v>
      </c>
      <c r="W9" s="17">
        <f>Inputs!$D$16</f>
        <v>1</v>
      </c>
      <c r="X9" s="17">
        <f>Inputs!$D$16</f>
        <v>1</v>
      </c>
      <c r="Y9" s="17">
        <f>Inputs!$D$16</f>
        <v>1</v>
      </c>
      <c r="Z9" s="17">
        <f>Inputs!$D$16</f>
        <v>1</v>
      </c>
      <c r="AA9" s="17">
        <f>Inputs!$D$16</f>
        <v>1</v>
      </c>
    </row>
    <row r="10" spans="3:27" ht="21" customHeight="1">
      <c r="C10" s="16" t="s">
        <v>84</v>
      </c>
      <c r="D10" s="17">
        <f>Inputs!$D$15+D9</f>
        <v>1</v>
      </c>
      <c r="E10" s="17">
        <f t="shared" ref="E10:AA10" si="0">D10+E9</f>
        <v>2</v>
      </c>
      <c r="F10" s="17">
        <f t="shared" si="0"/>
        <v>3</v>
      </c>
      <c r="G10" s="17">
        <f t="shared" si="0"/>
        <v>4</v>
      </c>
      <c r="H10" s="17">
        <f t="shared" si="0"/>
        <v>5</v>
      </c>
      <c r="I10" s="17">
        <f t="shared" si="0"/>
        <v>6</v>
      </c>
      <c r="J10" s="17">
        <f t="shared" si="0"/>
        <v>7</v>
      </c>
      <c r="K10" s="17">
        <f t="shared" si="0"/>
        <v>8</v>
      </c>
      <c r="L10" s="17">
        <f t="shared" si="0"/>
        <v>9</v>
      </c>
      <c r="M10" s="17">
        <f t="shared" si="0"/>
        <v>10</v>
      </c>
      <c r="N10" s="17">
        <f t="shared" si="0"/>
        <v>11</v>
      </c>
      <c r="O10" s="17">
        <f t="shared" si="0"/>
        <v>12</v>
      </c>
      <c r="P10" s="17">
        <f t="shared" si="0"/>
        <v>13</v>
      </c>
      <c r="Q10" s="17">
        <f t="shared" si="0"/>
        <v>14</v>
      </c>
      <c r="R10" s="17">
        <f t="shared" si="0"/>
        <v>15</v>
      </c>
      <c r="S10" s="17">
        <f t="shared" si="0"/>
        <v>16</v>
      </c>
      <c r="T10" s="17">
        <f t="shared" si="0"/>
        <v>17</v>
      </c>
      <c r="U10" s="17">
        <f t="shared" si="0"/>
        <v>18</v>
      </c>
      <c r="V10" s="17">
        <f t="shared" si="0"/>
        <v>19</v>
      </c>
      <c r="W10" s="17">
        <f t="shared" si="0"/>
        <v>20</v>
      </c>
      <c r="X10" s="17">
        <f t="shared" si="0"/>
        <v>21</v>
      </c>
      <c r="Y10" s="17">
        <f t="shared" si="0"/>
        <v>22</v>
      </c>
      <c r="Z10" s="17">
        <f t="shared" si="0"/>
        <v>23</v>
      </c>
      <c r="AA10" s="17">
        <f t="shared" si="0"/>
        <v>24</v>
      </c>
    </row>
    <row r="11" spans="3:27" ht="21" customHeight="1">
      <c r="C11" s="16" t="s">
        <v>85</v>
      </c>
      <c r="D11" s="18">
        <f>D10*Inputs!$D$10</f>
        <v>1500</v>
      </c>
      <c r="E11" s="18">
        <f>E10*Inputs!$D$10</f>
        <v>3000</v>
      </c>
      <c r="F11" s="18">
        <f>F10*Inputs!$D$10</f>
        <v>4500</v>
      </c>
      <c r="G11" s="18">
        <f>G10*Inputs!$D$10</f>
        <v>6000</v>
      </c>
      <c r="H11" s="18">
        <f>H10*Inputs!$D$10</f>
        <v>7500</v>
      </c>
      <c r="I11" s="18">
        <f>I10*Inputs!$D$10</f>
        <v>9000</v>
      </c>
      <c r="J11" s="18">
        <f>J10*Inputs!$D$10</f>
        <v>10500</v>
      </c>
      <c r="K11" s="18">
        <f>K10*Inputs!$D$10</f>
        <v>12000</v>
      </c>
      <c r="L11" s="18">
        <f>L10*Inputs!$D$10</f>
        <v>13500</v>
      </c>
      <c r="M11" s="18">
        <f>M10*Inputs!$D$10</f>
        <v>15000</v>
      </c>
      <c r="N11" s="18">
        <f>N10*Inputs!$D$10</f>
        <v>16500</v>
      </c>
      <c r="O11" s="18">
        <f>O10*Inputs!$D$10</f>
        <v>18000</v>
      </c>
      <c r="P11" s="18">
        <f>P10*Inputs!$D$10</f>
        <v>19500</v>
      </c>
      <c r="Q11" s="18">
        <f>Q10*Inputs!$D$10</f>
        <v>21000</v>
      </c>
      <c r="R11" s="18">
        <f>R10*Inputs!$D$10</f>
        <v>22500</v>
      </c>
      <c r="S11" s="18">
        <f>S10*Inputs!$D$10</f>
        <v>24000</v>
      </c>
      <c r="T11" s="18">
        <f>T10*Inputs!$D$10</f>
        <v>25500</v>
      </c>
      <c r="U11" s="18">
        <f>U10*Inputs!$D$10</f>
        <v>27000</v>
      </c>
      <c r="V11" s="18">
        <f>V10*Inputs!$D$10</f>
        <v>28500</v>
      </c>
      <c r="W11" s="18">
        <f>W10*Inputs!$D$10</f>
        <v>30000</v>
      </c>
      <c r="X11" s="18">
        <f>X10*Inputs!$D$10</f>
        <v>31500</v>
      </c>
      <c r="Y11" s="18">
        <f>Y10*Inputs!$D$10</f>
        <v>33000</v>
      </c>
      <c r="Z11" s="18">
        <f>Z10*Inputs!$D$10</f>
        <v>34500</v>
      </c>
      <c r="AA11" s="18">
        <f>AA10*Inputs!$D$10</f>
        <v>36000</v>
      </c>
    </row>
    <row r="12" spans="3:27" ht="21" customHeight="1">
      <c r="C12" s="16" t="s">
        <v>86</v>
      </c>
      <c r="D12" s="18">
        <f>D9*Inputs!$D$11</f>
        <v>3000</v>
      </c>
      <c r="E12" s="18">
        <f>E9*Inputs!$D$11</f>
        <v>3000</v>
      </c>
      <c r="F12" s="18">
        <f>F9*Inputs!$D$11</f>
        <v>3000</v>
      </c>
      <c r="G12" s="18">
        <f>G9*Inputs!$D$11</f>
        <v>3000</v>
      </c>
      <c r="H12" s="18">
        <f>H9*Inputs!$D$11</f>
        <v>3000</v>
      </c>
      <c r="I12" s="18">
        <f>I9*Inputs!$D$11</f>
        <v>3000</v>
      </c>
      <c r="J12" s="18">
        <f>J9*Inputs!$D$11</f>
        <v>3000</v>
      </c>
      <c r="K12" s="18">
        <f>K9*Inputs!$D$11</f>
        <v>3000</v>
      </c>
      <c r="L12" s="18">
        <f>L9*Inputs!$D$11</f>
        <v>3000</v>
      </c>
      <c r="M12" s="18">
        <f>M9*Inputs!$D$11</f>
        <v>3000</v>
      </c>
      <c r="N12" s="18">
        <f>N9*Inputs!$D$11</f>
        <v>3000</v>
      </c>
      <c r="O12" s="18">
        <f>O9*Inputs!$D$11</f>
        <v>3000</v>
      </c>
      <c r="P12" s="18">
        <f>P9*Inputs!$D$11</f>
        <v>3000</v>
      </c>
      <c r="Q12" s="18">
        <f>Q9*Inputs!$D$11</f>
        <v>3000</v>
      </c>
      <c r="R12" s="18">
        <f>R9*Inputs!$D$11</f>
        <v>3000</v>
      </c>
      <c r="S12" s="18">
        <f>S9*Inputs!$D$11</f>
        <v>3000</v>
      </c>
      <c r="T12" s="18">
        <f>T9*Inputs!$D$11</f>
        <v>3000</v>
      </c>
      <c r="U12" s="18">
        <f>U9*Inputs!$D$11</f>
        <v>3000</v>
      </c>
      <c r="V12" s="18">
        <f>V9*Inputs!$D$11</f>
        <v>3000</v>
      </c>
      <c r="W12" s="18">
        <f>W9*Inputs!$D$11</f>
        <v>3000</v>
      </c>
      <c r="X12" s="18">
        <f>X9*Inputs!$D$11</f>
        <v>3000</v>
      </c>
      <c r="Y12" s="18">
        <f>Y9*Inputs!$D$11</f>
        <v>3000</v>
      </c>
      <c r="Z12" s="18">
        <f>Z9*Inputs!$D$11</f>
        <v>3000</v>
      </c>
      <c r="AA12" s="18">
        <f>AA9*Inputs!$D$11</f>
        <v>3000</v>
      </c>
    </row>
    <row r="13" spans="3:27" ht="21" customHeight="1">
      <c r="C13" s="19" t="s">
        <v>87</v>
      </c>
      <c r="D13" s="20">
        <f t="shared" ref="D13:AA13" si="1">SUM(D11:D12)</f>
        <v>4500</v>
      </c>
      <c r="E13" s="20">
        <f t="shared" si="1"/>
        <v>6000</v>
      </c>
      <c r="F13" s="20">
        <f t="shared" si="1"/>
        <v>7500</v>
      </c>
      <c r="G13" s="20">
        <f t="shared" si="1"/>
        <v>9000</v>
      </c>
      <c r="H13" s="20">
        <f t="shared" si="1"/>
        <v>10500</v>
      </c>
      <c r="I13" s="20">
        <f t="shared" si="1"/>
        <v>12000</v>
      </c>
      <c r="J13" s="20">
        <f t="shared" si="1"/>
        <v>13500</v>
      </c>
      <c r="K13" s="20">
        <f t="shared" si="1"/>
        <v>15000</v>
      </c>
      <c r="L13" s="20">
        <f t="shared" si="1"/>
        <v>16500</v>
      </c>
      <c r="M13" s="20">
        <f t="shared" si="1"/>
        <v>18000</v>
      </c>
      <c r="N13" s="20">
        <f t="shared" si="1"/>
        <v>19500</v>
      </c>
      <c r="O13" s="20">
        <f t="shared" si="1"/>
        <v>21000</v>
      </c>
      <c r="P13" s="20">
        <f t="shared" si="1"/>
        <v>22500</v>
      </c>
      <c r="Q13" s="20">
        <f t="shared" si="1"/>
        <v>24000</v>
      </c>
      <c r="R13" s="20">
        <f t="shared" si="1"/>
        <v>25500</v>
      </c>
      <c r="S13" s="20">
        <f t="shared" si="1"/>
        <v>27000</v>
      </c>
      <c r="T13" s="20">
        <f t="shared" si="1"/>
        <v>28500</v>
      </c>
      <c r="U13" s="20">
        <f t="shared" si="1"/>
        <v>30000</v>
      </c>
      <c r="V13" s="20">
        <f t="shared" si="1"/>
        <v>31500</v>
      </c>
      <c r="W13" s="20">
        <f t="shared" si="1"/>
        <v>33000</v>
      </c>
      <c r="X13" s="20">
        <f t="shared" si="1"/>
        <v>34500</v>
      </c>
      <c r="Y13" s="20">
        <f t="shared" si="1"/>
        <v>36000</v>
      </c>
      <c r="Z13" s="20">
        <f t="shared" si="1"/>
        <v>37500</v>
      </c>
      <c r="AA13" s="20">
        <f t="shared" si="1"/>
        <v>39000</v>
      </c>
    </row>
    <row r="14" spans="3:27" ht="21" customHeight="1">
      <c r="C14" s="16" t="s">
        <v>88</v>
      </c>
      <c r="D14" s="18">
        <f>D10*Inputs!$D$12</f>
        <v>300</v>
      </c>
      <c r="E14" s="18">
        <f>E10*Inputs!$D$12</f>
        <v>600</v>
      </c>
      <c r="F14" s="18">
        <f>F10*Inputs!$D$12</f>
        <v>900</v>
      </c>
      <c r="G14" s="18">
        <f>G10*Inputs!$D$12</f>
        <v>1200</v>
      </c>
      <c r="H14" s="18">
        <f>H10*Inputs!$D$12</f>
        <v>1500</v>
      </c>
      <c r="I14" s="18">
        <f>I10*Inputs!$D$12</f>
        <v>1800</v>
      </c>
      <c r="J14" s="18">
        <f>J10*Inputs!$D$12</f>
        <v>2100</v>
      </c>
      <c r="K14" s="18">
        <f>K10*Inputs!$D$12</f>
        <v>2400</v>
      </c>
      <c r="L14" s="18">
        <f>L10*Inputs!$D$12</f>
        <v>2700</v>
      </c>
      <c r="M14" s="18">
        <f>M10*Inputs!$D$12</f>
        <v>3000</v>
      </c>
      <c r="N14" s="18">
        <f>N10*Inputs!$D$12</f>
        <v>3300</v>
      </c>
      <c r="O14" s="18">
        <f>O10*Inputs!$D$12</f>
        <v>3600</v>
      </c>
      <c r="P14" s="18">
        <f>P10*Inputs!$D$12</f>
        <v>3900</v>
      </c>
      <c r="Q14" s="18">
        <f>Q10*Inputs!$D$12</f>
        <v>4200</v>
      </c>
      <c r="R14" s="18">
        <f>R10*Inputs!$D$12</f>
        <v>4500</v>
      </c>
      <c r="S14" s="18">
        <f>S10*Inputs!$D$12</f>
        <v>4800</v>
      </c>
      <c r="T14" s="18">
        <f>T10*Inputs!$D$12</f>
        <v>5100</v>
      </c>
      <c r="U14" s="18">
        <f>U10*Inputs!$D$12</f>
        <v>5400</v>
      </c>
      <c r="V14" s="18">
        <f>V10*Inputs!$D$12</f>
        <v>5700</v>
      </c>
      <c r="W14" s="18">
        <f>W10*Inputs!$D$12</f>
        <v>6000</v>
      </c>
      <c r="X14" s="18">
        <f>X10*Inputs!$D$12</f>
        <v>6300</v>
      </c>
      <c r="Y14" s="18">
        <f>Y10*Inputs!$D$12</f>
        <v>6600</v>
      </c>
      <c r="Z14" s="18">
        <f>Z10*Inputs!$D$12</f>
        <v>6900</v>
      </c>
      <c r="AA14" s="18">
        <f>AA10*Inputs!$D$12</f>
        <v>7200</v>
      </c>
    </row>
    <row r="15" spans="3:27" ht="21" customHeight="1">
      <c r="C15" s="16" t="s">
        <v>89</v>
      </c>
      <c r="D15" s="18">
        <f>D9*Inputs!$D$13</f>
        <v>800</v>
      </c>
      <c r="E15" s="18">
        <f>E9*Inputs!$D$13</f>
        <v>800</v>
      </c>
      <c r="F15" s="18">
        <f>F9*Inputs!$D$13</f>
        <v>800</v>
      </c>
      <c r="G15" s="18">
        <f>G9*Inputs!$D$13</f>
        <v>800</v>
      </c>
      <c r="H15" s="18">
        <f>H9*Inputs!$D$13</f>
        <v>800</v>
      </c>
      <c r="I15" s="18">
        <f>I9*Inputs!$D$13</f>
        <v>800</v>
      </c>
      <c r="J15" s="18">
        <f>J9*Inputs!$D$13</f>
        <v>800</v>
      </c>
      <c r="K15" s="18">
        <f>K9*Inputs!$D$13</f>
        <v>800</v>
      </c>
      <c r="L15" s="18">
        <f>L9*Inputs!$D$13</f>
        <v>800</v>
      </c>
      <c r="M15" s="18">
        <f>M9*Inputs!$D$13</f>
        <v>800</v>
      </c>
      <c r="N15" s="18">
        <f>N9*Inputs!$D$13</f>
        <v>800</v>
      </c>
      <c r="O15" s="18">
        <f>O9*Inputs!$D$13</f>
        <v>800</v>
      </c>
      <c r="P15" s="18">
        <f>P9*Inputs!$D$13</f>
        <v>800</v>
      </c>
      <c r="Q15" s="18">
        <f>Q9*Inputs!$D$13</f>
        <v>800</v>
      </c>
      <c r="R15" s="18">
        <f>R9*Inputs!$D$13</f>
        <v>800</v>
      </c>
      <c r="S15" s="18">
        <f>S9*Inputs!$D$13</f>
        <v>800</v>
      </c>
      <c r="T15" s="18">
        <f>T9*Inputs!$D$13</f>
        <v>800</v>
      </c>
      <c r="U15" s="18">
        <f>U9*Inputs!$D$13</f>
        <v>800</v>
      </c>
      <c r="V15" s="18">
        <f>V9*Inputs!$D$13</f>
        <v>800</v>
      </c>
      <c r="W15" s="18">
        <f>W9*Inputs!$D$13</f>
        <v>800</v>
      </c>
      <c r="X15" s="18">
        <f>X9*Inputs!$D$13</f>
        <v>800</v>
      </c>
      <c r="Y15" s="18">
        <f>Y9*Inputs!$D$13</f>
        <v>800</v>
      </c>
      <c r="Z15" s="18">
        <f>Z9*Inputs!$D$13</f>
        <v>800</v>
      </c>
      <c r="AA15" s="18">
        <f>AA9*Inputs!$D$13</f>
        <v>800</v>
      </c>
    </row>
    <row r="16" spans="3:27" ht="21" customHeight="1">
      <c r="C16" s="19" t="s">
        <v>90</v>
      </c>
      <c r="D16" s="20">
        <f t="shared" ref="D16:AA16" si="2">SUM(D14:D15)</f>
        <v>1100</v>
      </c>
      <c r="E16" s="20">
        <f t="shared" si="2"/>
        <v>1400</v>
      </c>
      <c r="F16" s="20">
        <f t="shared" si="2"/>
        <v>1700</v>
      </c>
      <c r="G16" s="20">
        <f t="shared" si="2"/>
        <v>2000</v>
      </c>
      <c r="H16" s="20">
        <f t="shared" si="2"/>
        <v>2300</v>
      </c>
      <c r="I16" s="20">
        <f t="shared" si="2"/>
        <v>2600</v>
      </c>
      <c r="J16" s="20">
        <f t="shared" si="2"/>
        <v>2900</v>
      </c>
      <c r="K16" s="20">
        <f t="shared" si="2"/>
        <v>3200</v>
      </c>
      <c r="L16" s="20">
        <f t="shared" si="2"/>
        <v>3500</v>
      </c>
      <c r="M16" s="20">
        <f t="shared" si="2"/>
        <v>3800</v>
      </c>
      <c r="N16" s="20">
        <f t="shared" si="2"/>
        <v>4100</v>
      </c>
      <c r="O16" s="20">
        <f t="shared" si="2"/>
        <v>4400</v>
      </c>
      <c r="P16" s="20">
        <f t="shared" si="2"/>
        <v>4700</v>
      </c>
      <c r="Q16" s="20">
        <f t="shared" si="2"/>
        <v>5000</v>
      </c>
      <c r="R16" s="20">
        <f t="shared" si="2"/>
        <v>5300</v>
      </c>
      <c r="S16" s="20">
        <f t="shared" si="2"/>
        <v>5600</v>
      </c>
      <c r="T16" s="20">
        <f t="shared" si="2"/>
        <v>5900</v>
      </c>
      <c r="U16" s="20">
        <f t="shared" si="2"/>
        <v>6200</v>
      </c>
      <c r="V16" s="20">
        <f t="shared" si="2"/>
        <v>6500</v>
      </c>
      <c r="W16" s="20">
        <f t="shared" si="2"/>
        <v>6800</v>
      </c>
      <c r="X16" s="20">
        <f t="shared" si="2"/>
        <v>7100</v>
      </c>
      <c r="Y16" s="20">
        <f t="shared" si="2"/>
        <v>7400</v>
      </c>
      <c r="Z16" s="20">
        <f t="shared" si="2"/>
        <v>7700</v>
      </c>
      <c r="AA16" s="20">
        <f t="shared" si="2"/>
        <v>8000</v>
      </c>
    </row>
    <row r="17" spans="3:27" ht="21" customHeight="1">
      <c r="C17" s="19" t="s">
        <v>91</v>
      </c>
      <c r="D17" s="20">
        <f t="shared" ref="D17:AA17" si="3">D13-D16</f>
        <v>3400</v>
      </c>
      <c r="E17" s="20">
        <f t="shared" si="3"/>
        <v>4600</v>
      </c>
      <c r="F17" s="20">
        <f t="shared" si="3"/>
        <v>5800</v>
      </c>
      <c r="G17" s="20">
        <f t="shared" si="3"/>
        <v>7000</v>
      </c>
      <c r="H17" s="20">
        <f t="shared" si="3"/>
        <v>8200</v>
      </c>
      <c r="I17" s="20">
        <f t="shared" si="3"/>
        <v>9400</v>
      </c>
      <c r="J17" s="20">
        <f t="shared" si="3"/>
        <v>10600</v>
      </c>
      <c r="K17" s="20">
        <f t="shared" si="3"/>
        <v>11800</v>
      </c>
      <c r="L17" s="20">
        <f t="shared" si="3"/>
        <v>13000</v>
      </c>
      <c r="M17" s="20">
        <f t="shared" si="3"/>
        <v>14200</v>
      </c>
      <c r="N17" s="20">
        <f t="shared" si="3"/>
        <v>15400</v>
      </c>
      <c r="O17" s="20">
        <f t="shared" si="3"/>
        <v>16600</v>
      </c>
      <c r="P17" s="20">
        <f t="shared" si="3"/>
        <v>17800</v>
      </c>
      <c r="Q17" s="20">
        <f t="shared" si="3"/>
        <v>19000</v>
      </c>
      <c r="R17" s="20">
        <f t="shared" si="3"/>
        <v>20200</v>
      </c>
      <c r="S17" s="20">
        <f t="shared" si="3"/>
        <v>21400</v>
      </c>
      <c r="T17" s="20">
        <f t="shared" si="3"/>
        <v>22600</v>
      </c>
      <c r="U17" s="20">
        <f t="shared" si="3"/>
        <v>23800</v>
      </c>
      <c r="V17" s="20">
        <f t="shared" si="3"/>
        <v>25000</v>
      </c>
      <c r="W17" s="20">
        <f t="shared" si="3"/>
        <v>26200</v>
      </c>
      <c r="X17" s="20">
        <f t="shared" si="3"/>
        <v>27400</v>
      </c>
      <c r="Y17" s="20">
        <f t="shared" si="3"/>
        <v>28600</v>
      </c>
      <c r="Z17" s="20">
        <f t="shared" si="3"/>
        <v>29800</v>
      </c>
      <c r="AA17" s="20">
        <f t="shared" si="3"/>
        <v>31000</v>
      </c>
    </row>
    <row r="18" spans="3:27" ht="21" customHeight="1">
      <c r="C18" s="16" t="s">
        <v>92</v>
      </c>
      <c r="D18" s="21">
        <f t="shared" ref="D18:AA18" si="4">IFERROR(D17/D13,0)</f>
        <v>0.75555555555555554</v>
      </c>
      <c r="E18" s="21">
        <f t="shared" si="4"/>
        <v>0.76666666666666672</v>
      </c>
      <c r="F18" s="21">
        <f t="shared" si="4"/>
        <v>0.77333333333333332</v>
      </c>
      <c r="G18" s="21">
        <f t="shared" si="4"/>
        <v>0.77777777777777779</v>
      </c>
      <c r="H18" s="21">
        <f t="shared" si="4"/>
        <v>0.78095238095238095</v>
      </c>
      <c r="I18" s="21">
        <f t="shared" si="4"/>
        <v>0.78333333333333333</v>
      </c>
      <c r="J18" s="21">
        <f t="shared" si="4"/>
        <v>0.78518518518518521</v>
      </c>
      <c r="K18" s="21">
        <f t="shared" si="4"/>
        <v>0.78666666666666663</v>
      </c>
      <c r="L18" s="21">
        <f t="shared" si="4"/>
        <v>0.78787878787878785</v>
      </c>
      <c r="M18" s="21">
        <f t="shared" si="4"/>
        <v>0.78888888888888886</v>
      </c>
      <c r="N18" s="21">
        <f t="shared" si="4"/>
        <v>0.78974358974358971</v>
      </c>
      <c r="O18" s="21">
        <f t="shared" si="4"/>
        <v>0.79047619047619044</v>
      </c>
      <c r="P18" s="21">
        <f t="shared" si="4"/>
        <v>0.7911111111111111</v>
      </c>
      <c r="Q18" s="21">
        <f t="shared" si="4"/>
        <v>0.79166666666666663</v>
      </c>
      <c r="R18" s="21">
        <f t="shared" si="4"/>
        <v>0.792156862745098</v>
      </c>
      <c r="S18" s="21">
        <f t="shared" si="4"/>
        <v>0.79259259259259263</v>
      </c>
      <c r="T18" s="21">
        <f t="shared" si="4"/>
        <v>0.7929824561403509</v>
      </c>
      <c r="U18" s="21">
        <f t="shared" si="4"/>
        <v>0.79333333333333333</v>
      </c>
      <c r="V18" s="21">
        <f t="shared" si="4"/>
        <v>0.79365079365079361</v>
      </c>
      <c r="W18" s="21">
        <f t="shared" si="4"/>
        <v>0.79393939393939394</v>
      </c>
      <c r="X18" s="21">
        <f t="shared" si="4"/>
        <v>0.79420289855072468</v>
      </c>
      <c r="Y18" s="21">
        <f t="shared" si="4"/>
        <v>0.7944444444444444</v>
      </c>
      <c r="Z18" s="21">
        <f t="shared" si="4"/>
        <v>0.79466666666666663</v>
      </c>
      <c r="AA18" s="21">
        <f t="shared" si="4"/>
        <v>0.79487179487179482</v>
      </c>
    </row>
    <row r="19" spans="3:27" ht="21" customHeight="1">
      <c r="C19" s="16" t="s">
        <v>93</v>
      </c>
      <c r="D19" s="18">
        <f>Inputs!$D$14</f>
        <v>4500</v>
      </c>
      <c r="E19" s="18">
        <f>Inputs!$D$14</f>
        <v>4500</v>
      </c>
      <c r="F19" s="18">
        <f>Inputs!$D$14</f>
        <v>4500</v>
      </c>
      <c r="G19" s="18">
        <f>Inputs!$D$14</f>
        <v>4500</v>
      </c>
      <c r="H19" s="18">
        <f>Inputs!$D$14</f>
        <v>4500</v>
      </c>
      <c r="I19" s="18">
        <f>Inputs!$D$14</f>
        <v>4500</v>
      </c>
      <c r="J19" s="18">
        <f>Inputs!$D$14</f>
        <v>4500</v>
      </c>
      <c r="K19" s="18">
        <f>Inputs!$D$14</f>
        <v>4500</v>
      </c>
      <c r="L19" s="18">
        <f>Inputs!$D$14</f>
        <v>4500</v>
      </c>
      <c r="M19" s="18">
        <f>Inputs!$D$14</f>
        <v>4500</v>
      </c>
      <c r="N19" s="18">
        <f>Inputs!$D$14</f>
        <v>4500</v>
      </c>
      <c r="O19" s="18">
        <f>Inputs!$D$14</f>
        <v>4500</v>
      </c>
      <c r="P19" s="18">
        <f>Inputs!$D$14</f>
        <v>4500</v>
      </c>
      <c r="Q19" s="18">
        <f>Inputs!$D$14</f>
        <v>4500</v>
      </c>
      <c r="R19" s="18">
        <f>Inputs!$D$14</f>
        <v>4500</v>
      </c>
      <c r="S19" s="18">
        <f>Inputs!$D$14</f>
        <v>4500</v>
      </c>
      <c r="T19" s="18">
        <f>Inputs!$D$14</f>
        <v>4500</v>
      </c>
      <c r="U19" s="18">
        <f>Inputs!$D$14</f>
        <v>4500</v>
      </c>
      <c r="V19" s="18">
        <f>Inputs!$D$14</f>
        <v>4500</v>
      </c>
      <c r="W19" s="18">
        <f>Inputs!$D$14</f>
        <v>4500</v>
      </c>
      <c r="X19" s="18">
        <f>Inputs!$D$14</f>
        <v>4500</v>
      </c>
      <c r="Y19" s="18">
        <f>Inputs!$D$14</f>
        <v>4500</v>
      </c>
      <c r="Z19" s="18">
        <f>Inputs!$D$14</f>
        <v>4500</v>
      </c>
      <c r="AA19" s="18">
        <f>Inputs!$D$14</f>
        <v>4500</v>
      </c>
    </row>
    <row r="20" spans="3:27" ht="21" customHeight="1">
      <c r="C20" s="19" t="s">
        <v>94</v>
      </c>
      <c r="D20" s="20">
        <f t="shared" ref="D20:AA20" si="5">D17-D19</f>
        <v>-1100</v>
      </c>
      <c r="E20" s="20">
        <f t="shared" si="5"/>
        <v>100</v>
      </c>
      <c r="F20" s="20">
        <f t="shared" si="5"/>
        <v>1300</v>
      </c>
      <c r="G20" s="20">
        <f t="shared" si="5"/>
        <v>2500</v>
      </c>
      <c r="H20" s="20">
        <f t="shared" si="5"/>
        <v>3700</v>
      </c>
      <c r="I20" s="20">
        <f t="shared" si="5"/>
        <v>4900</v>
      </c>
      <c r="J20" s="20">
        <f t="shared" si="5"/>
        <v>6100</v>
      </c>
      <c r="K20" s="20">
        <f t="shared" si="5"/>
        <v>7300</v>
      </c>
      <c r="L20" s="20">
        <f t="shared" si="5"/>
        <v>8500</v>
      </c>
      <c r="M20" s="20">
        <f t="shared" si="5"/>
        <v>9700</v>
      </c>
      <c r="N20" s="20">
        <f t="shared" si="5"/>
        <v>10900</v>
      </c>
      <c r="O20" s="20">
        <f t="shared" si="5"/>
        <v>12100</v>
      </c>
      <c r="P20" s="20">
        <f t="shared" si="5"/>
        <v>13300</v>
      </c>
      <c r="Q20" s="20">
        <f t="shared" si="5"/>
        <v>14500</v>
      </c>
      <c r="R20" s="20">
        <f t="shared" si="5"/>
        <v>15700</v>
      </c>
      <c r="S20" s="20">
        <f t="shared" si="5"/>
        <v>16900</v>
      </c>
      <c r="T20" s="20">
        <f t="shared" si="5"/>
        <v>18100</v>
      </c>
      <c r="U20" s="20">
        <f t="shared" si="5"/>
        <v>19300</v>
      </c>
      <c r="V20" s="20">
        <f t="shared" si="5"/>
        <v>20500</v>
      </c>
      <c r="W20" s="20">
        <f t="shared" si="5"/>
        <v>21700</v>
      </c>
      <c r="X20" s="20">
        <f t="shared" si="5"/>
        <v>22900</v>
      </c>
      <c r="Y20" s="20">
        <f t="shared" si="5"/>
        <v>24100</v>
      </c>
      <c r="Z20" s="20">
        <f t="shared" si="5"/>
        <v>25300</v>
      </c>
      <c r="AA20" s="20">
        <f t="shared" si="5"/>
        <v>26500</v>
      </c>
    </row>
    <row r="21" spans="3:27" ht="21" customHeight="1">
      <c r="C21" s="16" t="s">
        <v>95</v>
      </c>
      <c r="D21" s="22">
        <f>D20</f>
        <v>-1100</v>
      </c>
      <c r="E21" s="22">
        <f t="shared" ref="E21:AA21" si="6">D21+E20</f>
        <v>-1000</v>
      </c>
      <c r="F21" s="22">
        <f t="shared" si="6"/>
        <v>300</v>
      </c>
      <c r="G21" s="22">
        <f t="shared" si="6"/>
        <v>2800</v>
      </c>
      <c r="H21" s="22">
        <f t="shared" si="6"/>
        <v>6500</v>
      </c>
      <c r="I21" s="22">
        <f t="shared" si="6"/>
        <v>11400</v>
      </c>
      <c r="J21" s="22">
        <f t="shared" si="6"/>
        <v>17500</v>
      </c>
      <c r="K21" s="22">
        <f t="shared" si="6"/>
        <v>24800</v>
      </c>
      <c r="L21" s="22">
        <f t="shared" si="6"/>
        <v>33300</v>
      </c>
      <c r="M21" s="22">
        <f t="shared" si="6"/>
        <v>43000</v>
      </c>
      <c r="N21" s="22">
        <f t="shared" si="6"/>
        <v>53900</v>
      </c>
      <c r="O21" s="22">
        <f t="shared" si="6"/>
        <v>66000</v>
      </c>
      <c r="P21" s="22">
        <f t="shared" si="6"/>
        <v>79300</v>
      </c>
      <c r="Q21" s="22">
        <f t="shared" si="6"/>
        <v>93800</v>
      </c>
      <c r="R21" s="22">
        <f t="shared" si="6"/>
        <v>109500</v>
      </c>
      <c r="S21" s="22">
        <f t="shared" si="6"/>
        <v>126400</v>
      </c>
      <c r="T21" s="22">
        <f t="shared" si="6"/>
        <v>144500</v>
      </c>
      <c r="U21" s="22">
        <f t="shared" si="6"/>
        <v>163800</v>
      </c>
      <c r="V21" s="22">
        <f t="shared" si="6"/>
        <v>184300</v>
      </c>
      <c r="W21" s="22">
        <f t="shared" si="6"/>
        <v>206000</v>
      </c>
      <c r="X21" s="22">
        <f t="shared" si="6"/>
        <v>228900</v>
      </c>
      <c r="Y21" s="22">
        <f t="shared" si="6"/>
        <v>253000</v>
      </c>
      <c r="Z21" s="22">
        <f t="shared" si="6"/>
        <v>278300</v>
      </c>
      <c r="AA21" s="22">
        <f t="shared" si="6"/>
        <v>304800</v>
      </c>
    </row>
    <row r="22" spans="3:27" ht="21" customHeight="1">
      <c r="C22" s="19" t="s">
        <v>96</v>
      </c>
      <c r="D22" s="23">
        <f>-Inputs!$D$9+D21</f>
        <v>-27600</v>
      </c>
      <c r="E22" s="23">
        <f>-Inputs!$D$9+E21</f>
        <v>-27500</v>
      </c>
      <c r="F22" s="23">
        <f>-Inputs!$D$9+F21</f>
        <v>-26200</v>
      </c>
      <c r="G22" s="23">
        <f>-Inputs!$D$9+G21</f>
        <v>-23700</v>
      </c>
      <c r="H22" s="23">
        <f>-Inputs!$D$9+H21</f>
        <v>-20000</v>
      </c>
      <c r="I22" s="23">
        <f>-Inputs!$D$9+I21</f>
        <v>-15100</v>
      </c>
      <c r="J22" s="23">
        <f>-Inputs!$D$9+J21</f>
        <v>-9000</v>
      </c>
      <c r="K22" s="23">
        <f>-Inputs!$D$9+K21</f>
        <v>-1700</v>
      </c>
      <c r="L22" s="23">
        <f>-Inputs!$D$9+L21</f>
        <v>6800</v>
      </c>
      <c r="M22" s="23">
        <f>-Inputs!$D$9+M21</f>
        <v>16500</v>
      </c>
      <c r="N22" s="23">
        <f>-Inputs!$D$9+N21</f>
        <v>27400</v>
      </c>
      <c r="O22" s="23">
        <f>-Inputs!$D$9+O21</f>
        <v>39500</v>
      </c>
      <c r="P22" s="23">
        <f>-Inputs!$D$9+P21</f>
        <v>52800</v>
      </c>
      <c r="Q22" s="23">
        <f>-Inputs!$D$9+Q21</f>
        <v>67300</v>
      </c>
      <c r="R22" s="23">
        <f>-Inputs!$D$9+R21</f>
        <v>83000</v>
      </c>
      <c r="S22" s="23">
        <f>-Inputs!$D$9+S21</f>
        <v>99900</v>
      </c>
      <c r="T22" s="23">
        <f>-Inputs!$D$9+T21</f>
        <v>118000</v>
      </c>
      <c r="U22" s="23">
        <f>-Inputs!$D$9+U21</f>
        <v>137300</v>
      </c>
      <c r="V22" s="23">
        <f>-Inputs!$D$9+V21</f>
        <v>157800</v>
      </c>
      <c r="W22" s="23">
        <f>-Inputs!$D$9+W21</f>
        <v>179500</v>
      </c>
      <c r="X22" s="23">
        <f>-Inputs!$D$9+X21</f>
        <v>202400</v>
      </c>
      <c r="Y22" s="23">
        <f>-Inputs!$D$9+Y21</f>
        <v>226500</v>
      </c>
      <c r="Z22" s="23">
        <f>-Inputs!$D$9+Z21</f>
        <v>251800</v>
      </c>
      <c r="AA22" s="23">
        <f>-Inputs!$D$9+AA21</f>
        <v>278300</v>
      </c>
    </row>
    <row r="23" spans="3:27" ht="21" customHeight="1">
      <c r="C23" s="16" t="s">
        <v>97</v>
      </c>
      <c r="D23" s="24" t="str">
        <f t="shared" ref="D23:AA23" si="7">IF(D22&gt;=0,"Paid back","Not yet")</f>
        <v>Not yet</v>
      </c>
      <c r="E23" s="24" t="str">
        <f t="shared" si="7"/>
        <v>Not yet</v>
      </c>
      <c r="F23" s="24" t="str">
        <f t="shared" si="7"/>
        <v>Not yet</v>
      </c>
      <c r="G23" s="24" t="str">
        <f t="shared" si="7"/>
        <v>Not yet</v>
      </c>
      <c r="H23" s="24" t="str">
        <f t="shared" si="7"/>
        <v>Not yet</v>
      </c>
      <c r="I23" s="24" t="str">
        <f t="shared" si="7"/>
        <v>Not yet</v>
      </c>
      <c r="J23" s="24" t="str">
        <f t="shared" si="7"/>
        <v>Not yet</v>
      </c>
      <c r="K23" s="24" t="str">
        <f t="shared" si="7"/>
        <v>Not yet</v>
      </c>
      <c r="L23" s="24" t="str">
        <f t="shared" si="7"/>
        <v>Paid back</v>
      </c>
      <c r="M23" s="24" t="str">
        <f t="shared" si="7"/>
        <v>Paid back</v>
      </c>
      <c r="N23" s="24" t="str">
        <f t="shared" si="7"/>
        <v>Paid back</v>
      </c>
      <c r="O23" s="24" t="str">
        <f t="shared" si="7"/>
        <v>Paid back</v>
      </c>
      <c r="P23" s="24" t="str">
        <f t="shared" si="7"/>
        <v>Paid back</v>
      </c>
      <c r="Q23" s="24" t="str">
        <f t="shared" si="7"/>
        <v>Paid back</v>
      </c>
      <c r="R23" s="24" t="str">
        <f t="shared" si="7"/>
        <v>Paid back</v>
      </c>
      <c r="S23" s="24" t="str">
        <f t="shared" si="7"/>
        <v>Paid back</v>
      </c>
      <c r="T23" s="24" t="str">
        <f t="shared" si="7"/>
        <v>Paid back</v>
      </c>
      <c r="U23" s="24" t="str">
        <f t="shared" si="7"/>
        <v>Paid back</v>
      </c>
      <c r="V23" s="24" t="str">
        <f t="shared" si="7"/>
        <v>Paid back</v>
      </c>
      <c r="W23" s="24" t="str">
        <f t="shared" si="7"/>
        <v>Paid back</v>
      </c>
      <c r="X23" s="24" t="str">
        <f t="shared" si="7"/>
        <v>Paid back</v>
      </c>
      <c r="Y23" s="24" t="str">
        <f t="shared" si="7"/>
        <v>Paid back</v>
      </c>
      <c r="Z23" s="24" t="str">
        <f t="shared" si="7"/>
        <v>Paid back</v>
      </c>
      <c r="AA23" s="24" t="str">
        <f t="shared" si="7"/>
        <v>Paid back</v>
      </c>
    </row>
  </sheetData>
  <mergeCells count="1">
    <mergeCell ref="C3:J3"/>
  </mergeCells>
  <pageMargins left="0.75" right="0.75" top="1" bottom="1" header="0.511811023622047" footer="0.5"/>
  <pageSetup fitToHeight="0" orientation="landscape" horizontalDpi="300" verticalDpi="300"/>
  <headerFooter>
    <oddFooter>&amp;C&amp;A |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C3:J20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D13" sqref="D13"/>
    </sheetView>
  </sheetViews>
  <sheetFormatPr defaultColWidth="8.5703125" defaultRowHeight="15"/>
  <cols>
    <col min="1" max="1" width="20" customWidth="1"/>
    <col min="2" max="2" width="20.140625" customWidth="1"/>
    <col min="3" max="39" width="14" customWidth="1"/>
  </cols>
  <sheetData>
    <row r="3" spans="3:10" ht="24" customHeight="1">
      <c r="C3" s="2" t="s">
        <v>98</v>
      </c>
      <c r="D3" s="2"/>
      <c r="E3" s="2"/>
      <c r="F3" s="2"/>
      <c r="G3" s="2"/>
      <c r="H3" s="2"/>
      <c r="I3" s="2"/>
      <c r="J3" s="2"/>
    </row>
    <row r="5" spans="3:10" ht="75">
      <c r="C5" s="7" t="s">
        <v>99</v>
      </c>
    </row>
    <row r="6" spans="3:10" ht="25.5">
      <c r="C6" s="8" t="s">
        <v>15</v>
      </c>
    </row>
    <row r="8" spans="3:10" ht="21" customHeight="1" thickBot="1">
      <c r="C8" s="9" t="s">
        <v>100</v>
      </c>
      <c r="D8" s="9" t="s">
        <v>101</v>
      </c>
      <c r="E8" s="9" t="s">
        <v>102</v>
      </c>
    </row>
    <row r="9" spans="3:10" ht="33" customHeight="1">
      <c r="C9" s="10" t="s">
        <v>103</v>
      </c>
      <c r="D9" s="25">
        <f>Inputs!$D$9</f>
        <v>26500</v>
      </c>
      <c r="E9" s="10" t="s">
        <v>104</v>
      </c>
    </row>
    <row r="10" spans="3:10" ht="21" customHeight="1">
      <c r="C10" s="10" t="s">
        <v>105</v>
      </c>
      <c r="D10" s="25">
        <f>IFERROR(Inputs!$D$10-Inputs!$D$12,0)</f>
        <v>1200</v>
      </c>
      <c r="E10" s="10" t="s">
        <v>106</v>
      </c>
    </row>
    <row r="11" spans="3:10" ht="21" customHeight="1">
      <c r="C11" s="10" t="s">
        <v>92</v>
      </c>
      <c r="D11" s="26">
        <f>IFERROR(D10/Inputs!$D$10,0)</f>
        <v>0.8</v>
      </c>
      <c r="E11" s="10" t="s">
        <v>107</v>
      </c>
    </row>
    <row r="12" spans="3:10" ht="21" customHeight="1">
      <c r="C12" s="10" t="s">
        <v>108</v>
      </c>
      <c r="D12" s="27">
        <f>IFERROR(Inputs!$D$14/D10,"N/M")</f>
        <v>3.75</v>
      </c>
      <c r="E12" s="10" t="s">
        <v>109</v>
      </c>
    </row>
    <row r="13" spans="3:10" ht="21" customHeight="1">
      <c r="C13" s="10" t="s">
        <v>110</v>
      </c>
      <c r="D13" s="25">
        <f>IFERROR(D12*Inputs!$D$10,"N/M")</f>
        <v>5625</v>
      </c>
      <c r="E13" s="10" t="s">
        <v>111</v>
      </c>
    </row>
    <row r="14" spans="3:10" ht="21" customHeight="1">
      <c r="C14" s="10" t="s">
        <v>112</v>
      </c>
      <c r="D14" s="27">
        <f>IFERROR(MATCH("Paid back",Operating_Model!$D$23:$AA$23,0),"Not reached")</f>
        <v>9</v>
      </c>
      <c r="E14" s="10" t="s">
        <v>113</v>
      </c>
    </row>
    <row r="15" spans="3:10" ht="21" customHeight="1">
      <c r="C15" s="10" t="s">
        <v>114</v>
      </c>
      <c r="D15" s="25">
        <f>Operating_Model!$AA$22</f>
        <v>278300</v>
      </c>
      <c r="E15" s="10" t="s">
        <v>115</v>
      </c>
    </row>
    <row r="16" spans="3:10" ht="21" customHeight="1"/>
    <row r="17" spans="3:5" ht="4.5" customHeight="1"/>
    <row r="18" spans="3:5" ht="40.5" customHeight="1">
      <c r="C18" s="13" t="s">
        <v>116</v>
      </c>
    </row>
    <row r="19" spans="3:5" ht="21" customHeight="1">
      <c r="C19" s="1" t="s">
        <v>117</v>
      </c>
      <c r="D19" s="1"/>
      <c r="E19" s="1"/>
    </row>
    <row r="20" spans="3:5" ht="21" customHeight="1">
      <c r="C20" s="1"/>
      <c r="D20" s="1"/>
      <c r="E20" s="1"/>
    </row>
  </sheetData>
  <mergeCells count="2">
    <mergeCell ref="C3:J3"/>
    <mergeCell ref="C19:E20"/>
  </mergeCells>
  <pageMargins left="0.75" right="0.75" top="1" bottom="1" header="0.511811023622047" footer="0.5"/>
  <pageSetup fitToHeight="0" orientation="landscape" horizontalDpi="300" verticalDpi="300"/>
  <headerFooter>
    <oddFooter>&amp;C&amp;A |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O32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12" sqref="C12"/>
    </sheetView>
  </sheetViews>
  <sheetFormatPr defaultColWidth="8.5703125" defaultRowHeight="15"/>
  <cols>
    <col min="2" max="2" width="5.5703125" customWidth="1"/>
    <col min="3" max="3" width="12.5703125" customWidth="1"/>
    <col min="15" max="15" width="33.5703125" bestFit="1" customWidth="1"/>
  </cols>
  <sheetData>
    <row r="3" spans="3:15" ht="24" customHeight="1"/>
    <row r="8" spans="3:15" ht="21" customHeight="1">
      <c r="C8" s="9" t="s">
        <v>118</v>
      </c>
      <c r="D8" s="9" t="s">
        <v>119</v>
      </c>
      <c r="E8" s="9" t="s">
        <v>120</v>
      </c>
      <c r="F8" s="9" t="s">
        <v>121</v>
      </c>
      <c r="G8" s="9" t="s">
        <v>122</v>
      </c>
      <c r="H8" s="9" t="s">
        <v>123</v>
      </c>
      <c r="I8" s="9" t="s">
        <v>124</v>
      </c>
      <c r="J8" s="9" t="s">
        <v>125</v>
      </c>
      <c r="K8" s="9" t="s">
        <v>126</v>
      </c>
      <c r="L8" s="9" t="s">
        <v>127</v>
      </c>
      <c r="M8" s="9" t="s">
        <v>128</v>
      </c>
      <c r="N8" s="9" t="s">
        <v>129</v>
      </c>
      <c r="O8" s="9" t="s">
        <v>130</v>
      </c>
    </row>
    <row r="9" spans="3:15" ht="21" customHeight="1">
      <c r="C9" s="28" t="s">
        <v>131</v>
      </c>
      <c r="D9" s="28">
        <v>1</v>
      </c>
      <c r="E9" s="29">
        <v>1</v>
      </c>
      <c r="F9" s="29">
        <v>1</v>
      </c>
      <c r="G9" s="30">
        <v>1500</v>
      </c>
      <c r="H9" s="30">
        <v>3000</v>
      </c>
      <c r="I9" s="30">
        <v>4500</v>
      </c>
      <c r="J9" s="30">
        <v>1100</v>
      </c>
      <c r="K9" s="30">
        <v>3400</v>
      </c>
      <c r="L9" s="31">
        <v>0.75555555555555598</v>
      </c>
      <c r="M9" s="30">
        <v>4500</v>
      </c>
      <c r="N9" s="30">
        <v>-1100</v>
      </c>
      <c r="O9" s="30">
        <v>-27600</v>
      </c>
    </row>
    <row r="10" spans="3:15" ht="21" customHeight="1">
      <c r="C10" s="28" t="s">
        <v>131</v>
      </c>
      <c r="D10" s="28">
        <v>2</v>
      </c>
      <c r="E10" s="29">
        <v>1</v>
      </c>
      <c r="F10" s="29">
        <v>2</v>
      </c>
      <c r="G10" s="30">
        <v>3000</v>
      </c>
      <c r="H10" s="30">
        <v>3000</v>
      </c>
      <c r="I10" s="30">
        <v>6000</v>
      </c>
      <c r="J10" s="30">
        <v>1400</v>
      </c>
      <c r="K10" s="30">
        <v>4600</v>
      </c>
      <c r="L10" s="31">
        <v>0.76666666666666705</v>
      </c>
      <c r="M10" s="30">
        <v>4500</v>
      </c>
      <c r="N10" s="30">
        <v>100</v>
      </c>
      <c r="O10" s="30">
        <v>-27500</v>
      </c>
    </row>
    <row r="11" spans="3:15" ht="21" customHeight="1">
      <c r="C11" s="28" t="s">
        <v>131</v>
      </c>
      <c r="D11" s="28">
        <v>3</v>
      </c>
      <c r="E11" s="29">
        <v>1</v>
      </c>
      <c r="F11" s="29">
        <v>3</v>
      </c>
      <c r="G11" s="30">
        <v>4500</v>
      </c>
      <c r="H11" s="30">
        <v>3000</v>
      </c>
      <c r="I11" s="30">
        <v>7500</v>
      </c>
      <c r="J11" s="30">
        <v>1700</v>
      </c>
      <c r="K11" s="30">
        <v>5800</v>
      </c>
      <c r="L11" s="31">
        <v>0.77333333333333298</v>
      </c>
      <c r="M11" s="30">
        <v>4500</v>
      </c>
      <c r="N11" s="30">
        <v>1300</v>
      </c>
      <c r="O11" s="30">
        <v>-26200</v>
      </c>
    </row>
    <row r="12" spans="3:15" ht="21" customHeight="1">
      <c r="C12" s="28" t="s">
        <v>131</v>
      </c>
      <c r="D12" s="28">
        <v>4</v>
      </c>
      <c r="E12" s="29">
        <v>1</v>
      </c>
      <c r="F12" s="29">
        <v>4</v>
      </c>
      <c r="G12" s="30">
        <v>6000</v>
      </c>
      <c r="H12" s="30">
        <v>3000</v>
      </c>
      <c r="I12" s="30">
        <v>9000</v>
      </c>
      <c r="J12" s="30">
        <v>2000</v>
      </c>
      <c r="K12" s="30">
        <v>7000</v>
      </c>
      <c r="L12" s="31">
        <v>0.77777777777777801</v>
      </c>
      <c r="M12" s="30">
        <v>4500</v>
      </c>
      <c r="N12" s="30">
        <v>2500</v>
      </c>
      <c r="O12" s="30">
        <v>-23700</v>
      </c>
    </row>
    <row r="13" spans="3:15" ht="21" customHeight="1">
      <c r="C13" s="28" t="s">
        <v>131</v>
      </c>
      <c r="D13" s="28">
        <v>5</v>
      </c>
      <c r="E13" s="29">
        <v>1</v>
      </c>
      <c r="F13" s="29">
        <v>5</v>
      </c>
      <c r="G13" s="30">
        <v>7500</v>
      </c>
      <c r="H13" s="30">
        <v>3000</v>
      </c>
      <c r="I13" s="30">
        <v>10500</v>
      </c>
      <c r="J13" s="30">
        <v>2300</v>
      </c>
      <c r="K13" s="30">
        <v>8200</v>
      </c>
      <c r="L13" s="31">
        <v>0.78095238095238095</v>
      </c>
      <c r="M13" s="30">
        <v>4500</v>
      </c>
      <c r="N13" s="30">
        <v>3700</v>
      </c>
      <c r="O13" s="30">
        <v>-20000</v>
      </c>
    </row>
    <row r="14" spans="3:15" ht="21" customHeight="1">
      <c r="C14" s="28" t="s">
        <v>131</v>
      </c>
      <c r="D14" s="28">
        <v>6</v>
      </c>
      <c r="E14" s="29">
        <v>1</v>
      </c>
      <c r="F14" s="29">
        <v>6</v>
      </c>
      <c r="G14" s="30">
        <v>9000</v>
      </c>
      <c r="H14" s="30">
        <v>3000</v>
      </c>
      <c r="I14" s="30">
        <v>12000</v>
      </c>
      <c r="J14" s="30">
        <v>2600</v>
      </c>
      <c r="K14" s="30">
        <v>9400</v>
      </c>
      <c r="L14" s="31">
        <v>0.78333333333333299</v>
      </c>
      <c r="M14" s="30">
        <v>4500</v>
      </c>
      <c r="N14" s="30">
        <v>4900</v>
      </c>
      <c r="O14" s="30">
        <v>-15100</v>
      </c>
    </row>
    <row r="15" spans="3:15" ht="21" customHeight="1">
      <c r="C15" s="28" t="s">
        <v>131</v>
      </c>
      <c r="D15" s="28">
        <v>7</v>
      </c>
      <c r="E15" s="29">
        <v>1</v>
      </c>
      <c r="F15" s="29">
        <v>7</v>
      </c>
      <c r="G15" s="30">
        <v>10500</v>
      </c>
      <c r="H15" s="30">
        <v>3000</v>
      </c>
      <c r="I15" s="30">
        <v>13500</v>
      </c>
      <c r="J15" s="30">
        <v>2900</v>
      </c>
      <c r="K15" s="30">
        <v>10600</v>
      </c>
      <c r="L15" s="31">
        <v>0.78518518518518499</v>
      </c>
      <c r="M15" s="30">
        <v>4500</v>
      </c>
      <c r="N15" s="30">
        <v>6100</v>
      </c>
      <c r="O15" s="30">
        <v>-9000</v>
      </c>
    </row>
    <row r="16" spans="3:15" ht="21" customHeight="1">
      <c r="C16" s="28" t="s">
        <v>131</v>
      </c>
      <c r="D16" s="28">
        <v>8</v>
      </c>
      <c r="E16" s="29">
        <v>1</v>
      </c>
      <c r="F16" s="29">
        <v>8</v>
      </c>
      <c r="G16" s="30">
        <v>12000</v>
      </c>
      <c r="H16" s="30">
        <v>3000</v>
      </c>
      <c r="I16" s="30">
        <v>15000</v>
      </c>
      <c r="J16" s="30">
        <v>3200</v>
      </c>
      <c r="K16" s="30">
        <v>11800</v>
      </c>
      <c r="L16" s="31">
        <v>0.78666666666666696</v>
      </c>
      <c r="M16" s="30">
        <v>4500</v>
      </c>
      <c r="N16" s="30">
        <v>7300</v>
      </c>
      <c r="O16" s="30">
        <v>-1700</v>
      </c>
    </row>
    <row r="17" spans="3:15" ht="21" customHeight="1">
      <c r="C17" s="28" t="s">
        <v>131</v>
      </c>
      <c r="D17" s="28">
        <v>9</v>
      </c>
      <c r="E17" s="29">
        <v>1</v>
      </c>
      <c r="F17" s="29">
        <v>9</v>
      </c>
      <c r="G17" s="30">
        <v>13500</v>
      </c>
      <c r="H17" s="30">
        <v>3000</v>
      </c>
      <c r="I17" s="30">
        <v>16500</v>
      </c>
      <c r="J17" s="30">
        <v>3500</v>
      </c>
      <c r="K17" s="30">
        <v>13000</v>
      </c>
      <c r="L17" s="31">
        <v>0.78787878787878796</v>
      </c>
      <c r="M17" s="30">
        <v>4500</v>
      </c>
      <c r="N17" s="30">
        <v>8500</v>
      </c>
      <c r="O17" s="30">
        <v>6800</v>
      </c>
    </row>
    <row r="18" spans="3:15" ht="21" customHeight="1">
      <c r="C18" s="28" t="s">
        <v>131</v>
      </c>
      <c r="D18" s="28">
        <v>10</v>
      </c>
      <c r="E18" s="29">
        <v>1</v>
      </c>
      <c r="F18" s="29">
        <v>10</v>
      </c>
      <c r="G18" s="30">
        <v>15000</v>
      </c>
      <c r="H18" s="30">
        <v>3000</v>
      </c>
      <c r="I18" s="30">
        <v>18000</v>
      </c>
      <c r="J18" s="30">
        <v>3800</v>
      </c>
      <c r="K18" s="30">
        <v>14200</v>
      </c>
      <c r="L18" s="31">
        <v>0.78888888888888897</v>
      </c>
      <c r="M18" s="30">
        <v>4500</v>
      </c>
      <c r="N18" s="30">
        <v>9700</v>
      </c>
      <c r="O18" s="30">
        <v>16500</v>
      </c>
    </row>
    <row r="19" spans="3:15" ht="21" customHeight="1">
      <c r="C19" s="28" t="s">
        <v>131</v>
      </c>
      <c r="D19" s="28">
        <v>11</v>
      </c>
      <c r="E19" s="29">
        <v>1</v>
      </c>
      <c r="F19" s="29">
        <v>11</v>
      </c>
      <c r="G19" s="30">
        <v>16500</v>
      </c>
      <c r="H19" s="30">
        <v>3000</v>
      </c>
      <c r="I19" s="30">
        <v>19500</v>
      </c>
      <c r="J19" s="30">
        <v>4100</v>
      </c>
      <c r="K19" s="30">
        <v>15400</v>
      </c>
      <c r="L19" s="31">
        <v>0.78974358974359005</v>
      </c>
      <c r="M19" s="30">
        <v>4500</v>
      </c>
      <c r="N19" s="30">
        <v>10900</v>
      </c>
      <c r="O19" s="30">
        <v>27400</v>
      </c>
    </row>
    <row r="20" spans="3:15" ht="21" customHeight="1">
      <c r="C20" s="28" t="s">
        <v>131</v>
      </c>
      <c r="D20" s="28">
        <v>12</v>
      </c>
      <c r="E20" s="29">
        <v>1</v>
      </c>
      <c r="F20" s="29">
        <v>12</v>
      </c>
      <c r="G20" s="30">
        <v>18000</v>
      </c>
      <c r="H20" s="30">
        <v>3000</v>
      </c>
      <c r="I20" s="30">
        <v>21000</v>
      </c>
      <c r="J20" s="30">
        <v>4400</v>
      </c>
      <c r="K20" s="30">
        <v>16600</v>
      </c>
      <c r="L20" s="31">
        <v>0.79047619047619</v>
      </c>
      <c r="M20" s="30">
        <v>4500</v>
      </c>
      <c r="N20" s="30">
        <v>12100</v>
      </c>
      <c r="O20" s="30">
        <v>39500</v>
      </c>
    </row>
    <row r="21" spans="3:15" ht="21" customHeight="1">
      <c r="C21" s="28" t="s">
        <v>131</v>
      </c>
      <c r="D21" s="28">
        <v>13</v>
      </c>
      <c r="E21" s="29">
        <v>1</v>
      </c>
      <c r="F21" s="29">
        <v>13</v>
      </c>
      <c r="G21" s="30">
        <v>19500</v>
      </c>
      <c r="H21" s="30">
        <v>3000</v>
      </c>
      <c r="I21" s="30">
        <v>22500</v>
      </c>
      <c r="J21" s="30">
        <v>4700</v>
      </c>
      <c r="K21" s="30">
        <v>17800</v>
      </c>
      <c r="L21" s="31">
        <v>0.79111111111111099</v>
      </c>
      <c r="M21" s="30">
        <v>4500</v>
      </c>
      <c r="N21" s="30">
        <v>13300</v>
      </c>
      <c r="O21" s="30">
        <v>52800</v>
      </c>
    </row>
    <row r="22" spans="3:15" ht="21" customHeight="1">
      <c r="C22" s="28" t="s">
        <v>131</v>
      </c>
      <c r="D22" s="28">
        <v>14</v>
      </c>
      <c r="E22" s="29">
        <v>1</v>
      </c>
      <c r="F22" s="29">
        <v>14</v>
      </c>
      <c r="G22" s="30">
        <v>21000</v>
      </c>
      <c r="H22" s="30">
        <v>3000</v>
      </c>
      <c r="I22" s="30">
        <v>24000</v>
      </c>
      <c r="J22" s="30">
        <v>5000</v>
      </c>
      <c r="K22" s="30">
        <v>19000</v>
      </c>
      <c r="L22" s="31">
        <v>0.79166666666666696</v>
      </c>
      <c r="M22" s="30">
        <v>4500</v>
      </c>
      <c r="N22" s="30">
        <v>14500</v>
      </c>
      <c r="O22" s="30">
        <v>67300</v>
      </c>
    </row>
    <row r="23" spans="3:15" ht="21" customHeight="1">
      <c r="C23" s="28" t="s">
        <v>131</v>
      </c>
      <c r="D23" s="28">
        <v>15</v>
      </c>
      <c r="E23" s="29">
        <v>1</v>
      </c>
      <c r="F23" s="29">
        <v>15</v>
      </c>
      <c r="G23" s="30">
        <v>22500</v>
      </c>
      <c r="H23" s="30">
        <v>3000</v>
      </c>
      <c r="I23" s="30">
        <v>25500</v>
      </c>
      <c r="J23" s="30">
        <v>5300</v>
      </c>
      <c r="K23" s="30">
        <v>20200</v>
      </c>
      <c r="L23" s="31">
        <v>0.792156862745098</v>
      </c>
      <c r="M23" s="30">
        <v>4500</v>
      </c>
      <c r="N23" s="30">
        <v>15700</v>
      </c>
      <c r="O23" s="30">
        <v>83000</v>
      </c>
    </row>
    <row r="24" spans="3:15" ht="21" customHeight="1">
      <c r="C24" s="28" t="s">
        <v>131</v>
      </c>
      <c r="D24" s="28">
        <v>16</v>
      </c>
      <c r="E24" s="29">
        <v>1</v>
      </c>
      <c r="F24" s="29">
        <v>16</v>
      </c>
      <c r="G24" s="30">
        <v>24000</v>
      </c>
      <c r="H24" s="30">
        <v>3000</v>
      </c>
      <c r="I24" s="30">
        <v>27000</v>
      </c>
      <c r="J24" s="30">
        <v>5600</v>
      </c>
      <c r="K24" s="30">
        <v>21400</v>
      </c>
      <c r="L24" s="31">
        <v>0.79259259259259296</v>
      </c>
      <c r="M24" s="30">
        <v>4500</v>
      </c>
      <c r="N24" s="30">
        <v>16900</v>
      </c>
      <c r="O24" s="30">
        <v>99900</v>
      </c>
    </row>
    <row r="25" spans="3:15" ht="21" customHeight="1">
      <c r="C25" s="28" t="s">
        <v>131</v>
      </c>
      <c r="D25" s="28">
        <v>17</v>
      </c>
      <c r="E25" s="29">
        <v>1</v>
      </c>
      <c r="F25" s="29">
        <v>17</v>
      </c>
      <c r="G25" s="30">
        <v>25500</v>
      </c>
      <c r="H25" s="30">
        <v>3000</v>
      </c>
      <c r="I25" s="30">
        <v>28500</v>
      </c>
      <c r="J25" s="30">
        <v>5900</v>
      </c>
      <c r="K25" s="30">
        <v>22600</v>
      </c>
      <c r="L25" s="31">
        <v>0.79298245614035101</v>
      </c>
      <c r="M25" s="30">
        <v>4500</v>
      </c>
      <c r="N25" s="30">
        <v>18100</v>
      </c>
      <c r="O25" s="30">
        <v>118000</v>
      </c>
    </row>
    <row r="26" spans="3:15" ht="21" customHeight="1">
      <c r="C26" s="28" t="s">
        <v>131</v>
      </c>
      <c r="D26" s="28">
        <v>18</v>
      </c>
      <c r="E26" s="29">
        <v>1</v>
      </c>
      <c r="F26" s="29">
        <v>18</v>
      </c>
      <c r="G26" s="30">
        <v>27000</v>
      </c>
      <c r="H26" s="30">
        <v>3000</v>
      </c>
      <c r="I26" s="30">
        <v>30000</v>
      </c>
      <c r="J26" s="30">
        <v>6200</v>
      </c>
      <c r="K26" s="30">
        <v>23800</v>
      </c>
      <c r="L26" s="31">
        <v>0.793333333333333</v>
      </c>
      <c r="M26" s="30">
        <v>4500</v>
      </c>
      <c r="N26" s="30">
        <v>19300</v>
      </c>
      <c r="O26" s="30">
        <v>137300</v>
      </c>
    </row>
    <row r="27" spans="3:15" ht="21" customHeight="1">
      <c r="C27" s="28" t="s">
        <v>131</v>
      </c>
      <c r="D27" s="28">
        <v>19</v>
      </c>
      <c r="E27" s="29">
        <v>1</v>
      </c>
      <c r="F27" s="29">
        <v>19</v>
      </c>
      <c r="G27" s="30">
        <v>28500</v>
      </c>
      <c r="H27" s="30">
        <v>3000</v>
      </c>
      <c r="I27" s="30">
        <v>31500</v>
      </c>
      <c r="J27" s="30">
        <v>6500</v>
      </c>
      <c r="K27" s="30">
        <v>25000</v>
      </c>
      <c r="L27" s="31">
        <v>0.79365079365079405</v>
      </c>
      <c r="M27" s="30">
        <v>4500</v>
      </c>
      <c r="N27" s="30">
        <v>20500</v>
      </c>
      <c r="O27" s="30">
        <v>157800</v>
      </c>
    </row>
    <row r="28" spans="3:15" ht="21" customHeight="1">
      <c r="C28" s="28" t="s">
        <v>131</v>
      </c>
      <c r="D28" s="28">
        <v>20</v>
      </c>
      <c r="E28" s="29">
        <v>1</v>
      </c>
      <c r="F28" s="29">
        <v>20</v>
      </c>
      <c r="G28" s="30">
        <v>30000</v>
      </c>
      <c r="H28" s="30">
        <v>3000</v>
      </c>
      <c r="I28" s="30">
        <v>33000</v>
      </c>
      <c r="J28" s="30">
        <v>6800</v>
      </c>
      <c r="K28" s="30">
        <v>26200</v>
      </c>
      <c r="L28" s="31">
        <v>0.79393939393939394</v>
      </c>
      <c r="M28" s="30">
        <v>4500</v>
      </c>
      <c r="N28" s="30">
        <v>21700</v>
      </c>
      <c r="O28" s="30">
        <v>179500</v>
      </c>
    </row>
    <row r="29" spans="3:15" ht="21" customHeight="1">
      <c r="C29" s="28" t="s">
        <v>131</v>
      </c>
      <c r="D29" s="28">
        <v>21</v>
      </c>
      <c r="E29" s="29">
        <v>1</v>
      </c>
      <c r="F29" s="29">
        <v>21</v>
      </c>
      <c r="G29" s="30">
        <v>31500</v>
      </c>
      <c r="H29" s="30">
        <v>3000</v>
      </c>
      <c r="I29" s="30">
        <v>34500</v>
      </c>
      <c r="J29" s="30">
        <v>7100</v>
      </c>
      <c r="K29" s="30">
        <v>27400</v>
      </c>
      <c r="L29" s="31">
        <v>0.79420289855072501</v>
      </c>
      <c r="M29" s="30">
        <v>4500</v>
      </c>
      <c r="N29" s="30">
        <v>22900</v>
      </c>
      <c r="O29" s="30">
        <v>202400</v>
      </c>
    </row>
    <row r="30" spans="3:15" ht="21" customHeight="1">
      <c r="C30" s="28" t="s">
        <v>131</v>
      </c>
      <c r="D30" s="28">
        <v>22</v>
      </c>
      <c r="E30" s="29">
        <v>1</v>
      </c>
      <c r="F30" s="29">
        <v>22</v>
      </c>
      <c r="G30" s="30">
        <v>33000</v>
      </c>
      <c r="H30" s="30">
        <v>3000</v>
      </c>
      <c r="I30" s="30">
        <v>36000</v>
      </c>
      <c r="J30" s="30">
        <v>7400</v>
      </c>
      <c r="K30" s="30">
        <v>28600</v>
      </c>
      <c r="L30" s="31">
        <v>0.79444444444444395</v>
      </c>
      <c r="M30" s="30">
        <v>4500</v>
      </c>
      <c r="N30" s="30">
        <v>24100</v>
      </c>
      <c r="O30" s="30">
        <v>226500</v>
      </c>
    </row>
    <row r="31" spans="3:15" ht="21" customHeight="1">
      <c r="C31" s="28" t="s">
        <v>131</v>
      </c>
      <c r="D31" s="28">
        <v>23</v>
      </c>
      <c r="E31" s="29">
        <v>1</v>
      </c>
      <c r="F31" s="29">
        <v>23</v>
      </c>
      <c r="G31" s="30">
        <v>34500</v>
      </c>
      <c r="H31" s="30">
        <v>3000</v>
      </c>
      <c r="I31" s="30">
        <v>37500</v>
      </c>
      <c r="J31" s="30">
        <v>7700</v>
      </c>
      <c r="K31" s="30">
        <v>29800</v>
      </c>
      <c r="L31" s="31">
        <v>0.79466666666666697</v>
      </c>
      <c r="M31" s="30">
        <v>4500</v>
      </c>
      <c r="N31" s="30">
        <v>25300</v>
      </c>
      <c r="O31" s="30">
        <v>251800</v>
      </c>
    </row>
    <row r="32" spans="3:15" ht="21" customHeight="1">
      <c r="C32" s="28" t="s">
        <v>131</v>
      </c>
      <c r="D32" s="28">
        <v>24</v>
      </c>
      <c r="E32" s="29">
        <v>1</v>
      </c>
      <c r="F32" s="29">
        <v>24</v>
      </c>
      <c r="G32" s="30">
        <v>36000</v>
      </c>
      <c r="H32" s="30">
        <v>3000</v>
      </c>
      <c r="I32" s="30">
        <v>39000</v>
      </c>
      <c r="J32" s="30">
        <v>8000</v>
      </c>
      <c r="K32" s="30">
        <v>31000</v>
      </c>
      <c r="L32" s="31">
        <v>0.79487179487179505</v>
      </c>
      <c r="M32" s="30">
        <v>4500</v>
      </c>
      <c r="N32" s="30">
        <v>26500</v>
      </c>
      <c r="O32" s="30">
        <v>278300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C3:J16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D10" sqref="D10"/>
    </sheetView>
  </sheetViews>
  <sheetFormatPr defaultColWidth="8.5703125" defaultRowHeight="15"/>
  <cols>
    <col min="1" max="2" width="20" customWidth="1"/>
    <col min="3" max="39" width="14" customWidth="1"/>
  </cols>
  <sheetData>
    <row r="3" spans="3:10" ht="24" customHeight="1">
      <c r="C3" s="2" t="s">
        <v>132</v>
      </c>
      <c r="D3" s="2"/>
      <c r="E3" s="2"/>
      <c r="F3" s="2"/>
      <c r="G3" s="2"/>
      <c r="H3" s="2"/>
      <c r="I3" s="2"/>
      <c r="J3" s="2"/>
    </row>
    <row r="5" spans="3:10" ht="60">
      <c r="C5" s="7" t="s">
        <v>133</v>
      </c>
    </row>
    <row r="6" spans="3:10">
      <c r="C6" s="8" t="s">
        <v>134</v>
      </c>
    </row>
    <row r="8" spans="3:10" ht="21" customHeight="1">
      <c r="C8" s="6" t="s">
        <v>135</v>
      </c>
      <c r="D8" s="32">
        <v>1000</v>
      </c>
      <c r="E8" s="32">
        <v>1500</v>
      </c>
      <c r="F8" s="32">
        <v>2000</v>
      </c>
      <c r="G8" s="32">
        <v>2500</v>
      </c>
    </row>
    <row r="9" spans="3:10" ht="21" customHeight="1">
      <c r="C9" s="32">
        <v>3000</v>
      </c>
      <c r="D9" s="33">
        <f>IFERROR($C9/(D$8-Inputs!$D$12),"N/M")</f>
        <v>4.2857142857142856</v>
      </c>
      <c r="E9" s="33">
        <f>IFERROR($C9/(E$8-Inputs!$D$12),"N/M")</f>
        <v>2.5</v>
      </c>
      <c r="F9" s="33">
        <f>IFERROR($C9/(F$8-Inputs!$D$12),"N/M")</f>
        <v>1.7647058823529411</v>
      </c>
      <c r="G9" s="33">
        <f>IFERROR($C9/(G$8-Inputs!$D$12),"N/M")</f>
        <v>1.3636363636363635</v>
      </c>
    </row>
    <row r="10" spans="3:10" ht="21" customHeight="1">
      <c r="C10" s="32">
        <v>4500</v>
      </c>
      <c r="D10" s="33">
        <f>IFERROR($C10/(D$8-Inputs!$D$12),"N/M")</f>
        <v>6.4285714285714288</v>
      </c>
      <c r="E10" s="33">
        <f>IFERROR($C10/(E$8-Inputs!$D$12),"N/M")</f>
        <v>3.75</v>
      </c>
      <c r="F10" s="33">
        <f>IFERROR($C10/(F$8-Inputs!$D$12),"N/M")</f>
        <v>2.6470588235294117</v>
      </c>
      <c r="G10" s="33">
        <f>IFERROR($C10/(G$8-Inputs!$D$12),"N/M")</f>
        <v>2.0454545454545454</v>
      </c>
    </row>
    <row r="11" spans="3:10" ht="21" customHeight="1">
      <c r="C11" s="32">
        <v>6000</v>
      </c>
      <c r="D11" s="33">
        <f>IFERROR($C11/(D$8-Inputs!$D$12),"N/M")</f>
        <v>8.5714285714285712</v>
      </c>
      <c r="E11" s="33">
        <f>IFERROR($C11/(E$8-Inputs!$D$12),"N/M")</f>
        <v>5</v>
      </c>
      <c r="F11" s="33">
        <f>IFERROR($C11/(F$8-Inputs!$D$12),"N/M")</f>
        <v>3.5294117647058822</v>
      </c>
      <c r="G11" s="33">
        <f>IFERROR($C11/(G$8-Inputs!$D$12),"N/M")</f>
        <v>2.7272727272727271</v>
      </c>
    </row>
    <row r="12" spans="3:10" ht="21" customHeight="1">
      <c r="C12" s="32">
        <v>7500</v>
      </c>
      <c r="D12" s="33">
        <f>IFERROR($C12/(D$8-Inputs!$D$12),"N/M")</f>
        <v>10.714285714285714</v>
      </c>
      <c r="E12" s="33">
        <f>IFERROR($C12/(E$8-Inputs!$D$12),"N/M")</f>
        <v>6.25</v>
      </c>
      <c r="F12" s="33">
        <f>IFERROR($C12/(F$8-Inputs!$D$12),"N/M")</f>
        <v>4.4117647058823533</v>
      </c>
      <c r="G12" s="33">
        <f>IFERROR($C12/(G$8-Inputs!$D$12),"N/M")</f>
        <v>3.4090909090909092</v>
      </c>
    </row>
    <row r="13" spans="3:10" ht="21" customHeight="1"/>
    <row r="14" spans="3:10" ht="21" customHeight="1"/>
    <row r="15" spans="3:10" ht="21" customHeight="1">
      <c r="C15" s="1" t="s">
        <v>136</v>
      </c>
      <c r="D15" s="1"/>
      <c r="E15" s="1"/>
      <c r="F15" s="1"/>
      <c r="G15" s="1"/>
    </row>
    <row r="16" spans="3:10" ht="21" customHeight="1">
      <c r="C16" s="1"/>
      <c r="D16" s="1"/>
      <c r="E16" s="1"/>
      <c r="F16" s="1"/>
      <c r="G16" s="1"/>
    </row>
  </sheetData>
  <mergeCells count="2">
    <mergeCell ref="C3:J3"/>
    <mergeCell ref="C15:G16"/>
  </mergeCells>
  <pageMargins left="0.75" right="0.75" top="1" bottom="1" header="0.511811023622047" footer="0.5"/>
  <pageSetup fitToHeight="0" orientation="landscape" horizontalDpi="300" verticalDpi="300"/>
  <headerFooter>
    <oddFooter>&amp;C&amp;A |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النطاقات المسماة</vt:lpstr>
      </vt:variant>
      <vt:variant>
        <vt:i4>4</vt:i4>
      </vt:variant>
    </vt:vector>
  </HeadingPairs>
  <TitlesOfParts>
    <vt:vector size="10" baseType="lpstr">
      <vt:lpstr>README</vt:lpstr>
      <vt:lpstr>Inputs</vt:lpstr>
      <vt:lpstr>Operating_Model</vt:lpstr>
      <vt:lpstr>Dashboard</vt:lpstr>
      <vt:lpstr>PowerBI_Export</vt:lpstr>
      <vt:lpstr>Sensitivity</vt:lpstr>
      <vt:lpstr>Dashboard!Print_Area</vt:lpstr>
      <vt:lpstr>Inputs!Print_Area</vt:lpstr>
      <vt:lpstr>Operating_Model!Print_Area</vt:lpstr>
      <vt:lpstr>Sensitivity!Print_Area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2026-08-15T11:45:18Z</dcterms:created>
  <dcterms:modified xsi:type="dcterms:W3CDTF">2026-08-15T11:45:18Z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2026-08-15T10:04:20Z</dcterms:created>
  <dc:creator>openpyxl</dc:creator>
  <dc:description/>
  <dc:language>en-US</dc:language>
  <cp:lastModifiedBy/>
  <dcterms:modified xsi:type="dcterms:W3CDTF">2026-08-15T10:04:20Z</dcterms:modified>
  <cp:revision>0</cp:revision>
  <dc:subject/>
  <dc:title/>
</cp:coreProperties>
</file>