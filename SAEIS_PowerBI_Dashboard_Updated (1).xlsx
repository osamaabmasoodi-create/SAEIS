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DB7C768-0A15-4E8A-90B7-B06AE1C930D2}" xr6:coauthVersionLast="45" xr6:coauthVersionMax="45" xr10:uidLastSave="{00000000-0000-0000-0000-000000000000}"/>
  <bookViews>
    <workbookView xWindow="1455" yWindow="-120" windowWidth="17865" windowHeight="15600" firstSheet="1" activeTab="5" xr2:uid="{00000000-000D-0000-FFFF-FFFF00000000}"/>
  </bookViews>
  <sheets>
    <sheet name="README" sheetId="1" r:id="rId1"/>
    <sheet name="Inputs" sheetId="2" r:id="rId2"/>
    <sheet name="Budget_Variance" sheetId="3" r:id="rId3"/>
    <sheet name="Actuals_Monthly" sheetId="4" r:id="rId4"/>
    <sheet name="Monthly_Model" sheetId="5" r:id="rId5"/>
    <sheet name="Dashboard" sheetId="6" r:id="rId6"/>
    <sheet name="PowerBI_Export" sheetId="7" r:id="rId7"/>
    <sheet name="Sensitivity" sheetId="8" r:id="rId8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8" l="1"/>
  <c r="G6" i="8"/>
  <c r="G5" i="8"/>
  <c r="D17" i="6"/>
  <c r="C17" i="6"/>
  <c r="B17" i="6"/>
  <c r="D16" i="6"/>
  <c r="C16" i="6"/>
  <c r="B16" i="6"/>
  <c r="K15" i="6"/>
  <c r="I15" i="6"/>
  <c r="D15" i="6"/>
  <c r="C15" i="6"/>
  <c r="B15" i="6"/>
  <c r="K14" i="6"/>
  <c r="I14" i="6"/>
  <c r="D14" i="6"/>
  <c r="C14" i="6"/>
  <c r="B14" i="6"/>
  <c r="C8" i="6"/>
  <c r="C4" i="6"/>
  <c r="S28" i="5"/>
  <c r="R28" i="5"/>
  <c r="Q28" i="5"/>
  <c r="P28" i="5"/>
  <c r="T28" i="5" s="1"/>
  <c r="L28" i="5"/>
  <c r="B28" i="5"/>
  <c r="S27" i="5"/>
  <c r="R27" i="5"/>
  <c r="Q27" i="5"/>
  <c r="P27" i="5"/>
  <c r="T27" i="5" s="1"/>
  <c r="L27" i="5"/>
  <c r="B27" i="5"/>
  <c r="S26" i="5"/>
  <c r="R26" i="5"/>
  <c r="Q26" i="5"/>
  <c r="P26" i="5"/>
  <c r="T26" i="5" s="1"/>
  <c r="L26" i="5"/>
  <c r="B26" i="5"/>
  <c r="S25" i="5"/>
  <c r="R25" i="5"/>
  <c r="Q25" i="5"/>
  <c r="P25" i="5"/>
  <c r="T25" i="5" s="1"/>
  <c r="L25" i="5"/>
  <c r="B25" i="5"/>
  <c r="S24" i="5"/>
  <c r="R24" i="5"/>
  <c r="Q24" i="5"/>
  <c r="P24" i="5"/>
  <c r="T24" i="5" s="1"/>
  <c r="L24" i="5"/>
  <c r="B24" i="5"/>
  <c r="S23" i="5"/>
  <c r="R23" i="5"/>
  <c r="Q23" i="5"/>
  <c r="P23" i="5"/>
  <c r="T23" i="5" s="1"/>
  <c r="L23" i="5"/>
  <c r="B23" i="5"/>
  <c r="S22" i="5"/>
  <c r="R22" i="5"/>
  <c r="Q22" i="5"/>
  <c r="P22" i="5"/>
  <c r="T22" i="5" s="1"/>
  <c r="L22" i="5"/>
  <c r="B22" i="5"/>
  <c r="S21" i="5"/>
  <c r="R21" i="5"/>
  <c r="Q21" i="5"/>
  <c r="P21" i="5"/>
  <c r="T21" i="5" s="1"/>
  <c r="L21" i="5"/>
  <c r="B21" i="5"/>
  <c r="S20" i="5"/>
  <c r="R20" i="5"/>
  <c r="Q20" i="5"/>
  <c r="P20" i="5"/>
  <c r="T20" i="5" s="1"/>
  <c r="L20" i="5"/>
  <c r="B20" i="5"/>
  <c r="S19" i="5"/>
  <c r="R19" i="5"/>
  <c r="Q19" i="5"/>
  <c r="P19" i="5"/>
  <c r="T19" i="5" s="1"/>
  <c r="L19" i="5"/>
  <c r="B19" i="5"/>
  <c r="S18" i="5"/>
  <c r="R18" i="5"/>
  <c r="Q18" i="5"/>
  <c r="P18" i="5"/>
  <c r="T18" i="5" s="1"/>
  <c r="L18" i="5"/>
  <c r="B18" i="5"/>
  <c r="S17" i="5"/>
  <c r="R17" i="5"/>
  <c r="Q17" i="5"/>
  <c r="P17" i="5"/>
  <c r="T17" i="5" s="1"/>
  <c r="L17" i="5"/>
  <c r="B17" i="5"/>
  <c r="S16" i="5"/>
  <c r="R16" i="5"/>
  <c r="Q16" i="5"/>
  <c r="P16" i="5"/>
  <c r="T16" i="5" s="1"/>
  <c r="L16" i="5"/>
  <c r="B16" i="5"/>
  <c r="S15" i="5"/>
  <c r="R15" i="5"/>
  <c r="Q15" i="5"/>
  <c r="P15" i="5"/>
  <c r="T15" i="5" s="1"/>
  <c r="L15" i="5"/>
  <c r="B15" i="5"/>
  <c r="S14" i="5"/>
  <c r="R14" i="5"/>
  <c r="Q14" i="5"/>
  <c r="P14" i="5"/>
  <c r="T14" i="5" s="1"/>
  <c r="L14" i="5"/>
  <c r="B14" i="5"/>
  <c r="S13" i="5"/>
  <c r="R13" i="5"/>
  <c r="Q13" i="5"/>
  <c r="P13" i="5"/>
  <c r="T13" i="5" s="1"/>
  <c r="L13" i="5"/>
  <c r="B13" i="5"/>
  <c r="S12" i="5"/>
  <c r="R12" i="5"/>
  <c r="Q12" i="5"/>
  <c r="P12" i="5"/>
  <c r="T12" i="5" s="1"/>
  <c r="L12" i="5"/>
  <c r="B12" i="5"/>
  <c r="S11" i="5"/>
  <c r="R11" i="5"/>
  <c r="Q11" i="5"/>
  <c r="P11" i="5"/>
  <c r="T11" i="5" s="1"/>
  <c r="L11" i="5"/>
  <c r="B11" i="5"/>
  <c r="S10" i="5"/>
  <c r="R10" i="5"/>
  <c r="Q10" i="5"/>
  <c r="P10" i="5"/>
  <c r="T10" i="5" s="1"/>
  <c r="L10" i="5"/>
  <c r="B10" i="5"/>
  <c r="S9" i="5"/>
  <c r="R9" i="5"/>
  <c r="Q9" i="5"/>
  <c r="P9" i="5"/>
  <c r="T9" i="5" s="1"/>
  <c r="L9" i="5"/>
  <c r="B9" i="5"/>
  <c r="S8" i="5"/>
  <c r="R8" i="5"/>
  <c r="Q8" i="5"/>
  <c r="P8" i="5"/>
  <c r="T8" i="5" s="1"/>
  <c r="L8" i="5"/>
  <c r="B8" i="5"/>
  <c r="S7" i="5"/>
  <c r="Q7" i="5"/>
  <c r="P7" i="5"/>
  <c r="T7" i="5" s="1"/>
  <c r="L7" i="5"/>
  <c r="B7" i="5"/>
  <c r="S6" i="5"/>
  <c r="Q6" i="5"/>
  <c r="P6" i="5"/>
  <c r="T6" i="5" s="1"/>
  <c r="L6" i="5"/>
  <c r="B6" i="5"/>
  <c r="S5" i="5"/>
  <c r="Q5" i="5"/>
  <c r="P5" i="5"/>
  <c r="T5" i="5" s="1"/>
  <c r="L5" i="5"/>
  <c r="E5" i="5"/>
  <c r="E6" i="5" s="1"/>
  <c r="D5" i="5"/>
  <c r="H5" i="5" s="1"/>
  <c r="C5" i="5"/>
  <c r="F5" i="5" s="1"/>
  <c r="B5" i="5"/>
  <c r="E10" i="3"/>
  <c r="D10" i="3"/>
  <c r="C10" i="3"/>
  <c r="F10" i="3" s="1"/>
  <c r="B10" i="3"/>
  <c r="F8" i="3"/>
  <c r="F17" i="6" s="1"/>
  <c r="E8" i="3"/>
  <c r="D8" i="3"/>
  <c r="E17" i="6" s="1"/>
  <c r="F7" i="3"/>
  <c r="F16" i="6" s="1"/>
  <c r="E7" i="3"/>
  <c r="D7" i="3"/>
  <c r="E16" i="6" s="1"/>
  <c r="F6" i="3"/>
  <c r="F15" i="6" s="1"/>
  <c r="E6" i="3"/>
  <c r="D6" i="3"/>
  <c r="E15" i="6" s="1"/>
  <c r="F5" i="3"/>
  <c r="F14" i="6" s="1"/>
  <c r="E5" i="3"/>
  <c r="D5" i="3"/>
  <c r="E14" i="6" s="1"/>
  <c r="E7" i="5" l="1"/>
  <c r="I6" i="5"/>
  <c r="G5" i="5"/>
  <c r="J5" i="5" s="1"/>
  <c r="C6" i="5"/>
  <c r="D6" i="5"/>
  <c r="R5" i="5"/>
  <c r="R6" i="5"/>
  <c r="R7" i="5"/>
  <c r="I5" i="5"/>
  <c r="M5" i="5" l="1"/>
  <c r="N5" i="5" s="1"/>
  <c r="K5" i="5"/>
  <c r="O5" i="5"/>
  <c r="H6" i="5"/>
  <c r="D7" i="5"/>
  <c r="E8" i="5"/>
  <c r="I7" i="5"/>
  <c r="F6" i="5"/>
  <c r="C7" i="5"/>
  <c r="G6" i="5"/>
  <c r="F7" i="5" l="1"/>
  <c r="C8" i="5"/>
  <c r="G7" i="5"/>
  <c r="H7" i="5"/>
  <c r="D8" i="5"/>
  <c r="U5" i="5"/>
  <c r="J6" i="5"/>
  <c r="E9" i="5"/>
  <c r="I8" i="5"/>
  <c r="E10" i="5" l="1"/>
  <c r="I9" i="5"/>
  <c r="D9" i="5"/>
  <c r="H8" i="5"/>
  <c r="M6" i="5"/>
  <c r="N6" i="5" s="1"/>
  <c r="K6" i="5"/>
  <c r="O6" i="5"/>
  <c r="J7" i="5"/>
  <c r="C9" i="5"/>
  <c r="F8" i="5"/>
  <c r="G8" i="5"/>
  <c r="J8" i="5" s="1"/>
  <c r="U6" i="5" l="1"/>
  <c r="E11" i="5"/>
  <c r="I10" i="5"/>
  <c r="M8" i="5"/>
  <c r="K8" i="5"/>
  <c r="O8" i="5" s="1"/>
  <c r="M7" i="5"/>
  <c r="N7" i="5" s="1"/>
  <c r="O7" i="5"/>
  <c r="K7" i="5"/>
  <c r="D10" i="5"/>
  <c r="H9" i="5"/>
  <c r="G9" i="5"/>
  <c r="J9" i="5" s="1"/>
  <c r="F9" i="5"/>
  <c r="C10" i="5"/>
  <c r="U7" i="5" l="1"/>
  <c r="N8" i="5"/>
  <c r="K9" i="5"/>
  <c r="M9" i="5" s="1"/>
  <c r="G10" i="5"/>
  <c r="C11" i="5"/>
  <c r="F10" i="5"/>
  <c r="D11" i="5"/>
  <c r="H10" i="5"/>
  <c r="E12" i="5"/>
  <c r="I11" i="5"/>
  <c r="E13" i="5" l="1"/>
  <c r="I12" i="5"/>
  <c r="C12" i="5"/>
  <c r="F11" i="5"/>
  <c r="G11" i="5"/>
  <c r="O9" i="5"/>
  <c r="J10" i="5"/>
  <c r="D12" i="5"/>
  <c r="H11" i="5"/>
  <c r="N9" i="5"/>
  <c r="U8" i="5"/>
  <c r="U9" i="5" l="1"/>
  <c r="J11" i="5"/>
  <c r="E14" i="5"/>
  <c r="I13" i="5"/>
  <c r="D13" i="5"/>
  <c r="H12" i="5"/>
  <c r="K10" i="5"/>
  <c r="O10" i="5" s="1"/>
  <c r="C13" i="5"/>
  <c r="F12" i="5"/>
  <c r="G12" i="5"/>
  <c r="G13" i="5" l="1"/>
  <c r="J13" i="5" s="1"/>
  <c r="C14" i="5"/>
  <c r="F13" i="5"/>
  <c r="K11" i="5"/>
  <c r="O11" i="5" s="1"/>
  <c r="D14" i="5"/>
  <c r="H13" i="5"/>
  <c r="J12" i="5"/>
  <c r="M10" i="5"/>
  <c r="N10" i="5" s="1"/>
  <c r="E15" i="5"/>
  <c r="I14" i="5"/>
  <c r="M12" i="5" l="1"/>
  <c r="K12" i="5"/>
  <c r="O12" i="5"/>
  <c r="M11" i="5"/>
  <c r="N11" i="5" s="1"/>
  <c r="E16" i="5"/>
  <c r="I15" i="5"/>
  <c r="D15" i="5"/>
  <c r="H14" i="5"/>
  <c r="U10" i="5"/>
  <c r="G14" i="5"/>
  <c r="C15" i="5"/>
  <c r="F14" i="5"/>
  <c r="K13" i="5"/>
  <c r="M13" i="5" s="1"/>
  <c r="U11" i="5" l="1"/>
  <c r="N12" i="5"/>
  <c r="C16" i="5"/>
  <c r="F15" i="5"/>
  <c r="G15" i="5"/>
  <c r="O13" i="5"/>
  <c r="J14" i="5"/>
  <c r="D16" i="5"/>
  <c r="H15" i="5"/>
  <c r="E17" i="5"/>
  <c r="I16" i="5"/>
  <c r="C17" i="5" l="1"/>
  <c r="F16" i="5"/>
  <c r="G16" i="5"/>
  <c r="J16" i="5" s="1"/>
  <c r="D17" i="5"/>
  <c r="H16" i="5"/>
  <c r="M14" i="5"/>
  <c r="O14" i="5"/>
  <c r="K14" i="5"/>
  <c r="E18" i="5"/>
  <c r="I17" i="5"/>
  <c r="U12" i="5"/>
  <c r="N13" i="5"/>
  <c r="J15" i="5"/>
  <c r="K16" i="5" l="1"/>
  <c r="M16" i="5" s="1"/>
  <c r="I4" i="6" s="1"/>
  <c r="O16" i="5"/>
  <c r="L4" i="6" s="1"/>
  <c r="F4" i="6"/>
  <c r="F8" i="6"/>
  <c r="U13" i="5"/>
  <c r="N14" i="5"/>
  <c r="D18" i="5"/>
  <c r="H17" i="5"/>
  <c r="K15" i="5"/>
  <c r="O15" i="5" s="1"/>
  <c r="E19" i="5"/>
  <c r="I18" i="5"/>
  <c r="G17" i="5"/>
  <c r="J17" i="5" s="1"/>
  <c r="F17" i="5"/>
  <c r="C18" i="5"/>
  <c r="M15" i="5" l="1"/>
  <c r="N15" i="5" s="1"/>
  <c r="D19" i="5"/>
  <c r="H18" i="5"/>
  <c r="K17" i="5"/>
  <c r="O17" i="5" s="1"/>
  <c r="U14" i="5"/>
  <c r="G18" i="5"/>
  <c r="C19" i="5"/>
  <c r="F18" i="5"/>
  <c r="E20" i="5"/>
  <c r="I19" i="5"/>
  <c r="U15" i="5" l="1"/>
  <c r="N16" i="5"/>
  <c r="C20" i="5"/>
  <c r="F19" i="5"/>
  <c r="G19" i="5"/>
  <c r="D20" i="5"/>
  <c r="H19" i="5"/>
  <c r="E21" i="5"/>
  <c r="I20" i="5"/>
  <c r="M17" i="5"/>
  <c r="J18" i="5"/>
  <c r="K18" i="5" l="1"/>
  <c r="M18" i="5" s="1"/>
  <c r="O18" i="5"/>
  <c r="U16" i="5"/>
  <c r="N17" i="5"/>
  <c r="E22" i="5"/>
  <c r="I21" i="5"/>
  <c r="C21" i="5"/>
  <c r="F20" i="5"/>
  <c r="G20" i="5"/>
  <c r="J20" i="5" s="1"/>
  <c r="D21" i="5"/>
  <c r="H20" i="5"/>
  <c r="J19" i="5"/>
  <c r="D22" i="5" l="1"/>
  <c r="H21" i="5"/>
  <c r="E23" i="5"/>
  <c r="I22" i="5"/>
  <c r="G21" i="5"/>
  <c r="C22" i="5"/>
  <c r="F21" i="5"/>
  <c r="K20" i="5"/>
  <c r="M20" i="5" s="1"/>
  <c r="O20" i="5"/>
  <c r="M19" i="5"/>
  <c r="K19" i="5"/>
  <c r="O19" i="5"/>
  <c r="U17" i="5"/>
  <c r="N18" i="5"/>
  <c r="E24" i="5" l="1"/>
  <c r="I23" i="5"/>
  <c r="G22" i="5"/>
  <c r="J22" i="5" s="1"/>
  <c r="C23" i="5"/>
  <c r="F22" i="5"/>
  <c r="J21" i="5"/>
  <c r="D23" i="5"/>
  <c r="H22" i="5"/>
  <c r="U18" i="5"/>
  <c r="N19" i="5"/>
  <c r="D24" i="5" l="1"/>
  <c r="H23" i="5"/>
  <c r="M22" i="5"/>
  <c r="K22" i="5"/>
  <c r="O22" i="5" s="1"/>
  <c r="U19" i="5"/>
  <c r="N20" i="5"/>
  <c r="K21" i="5"/>
  <c r="M21" i="5" s="1"/>
  <c r="E25" i="5"/>
  <c r="I24" i="5"/>
  <c r="C24" i="5"/>
  <c r="F23" i="5"/>
  <c r="G23" i="5"/>
  <c r="J23" i="5" s="1"/>
  <c r="O23" i="5" l="1"/>
  <c r="K23" i="5"/>
  <c r="M23" i="5" s="1"/>
  <c r="E26" i="5"/>
  <c r="I25" i="5"/>
  <c r="U20" i="5"/>
  <c r="N21" i="5"/>
  <c r="G24" i="5"/>
  <c r="C25" i="5"/>
  <c r="F24" i="5"/>
  <c r="O21" i="5"/>
  <c r="D25" i="5"/>
  <c r="H24" i="5"/>
  <c r="G25" i="5" l="1"/>
  <c r="C26" i="5"/>
  <c r="F25" i="5"/>
  <c r="D26" i="5"/>
  <c r="H25" i="5"/>
  <c r="J24" i="5"/>
  <c r="E27" i="5"/>
  <c r="I26" i="5"/>
  <c r="U21" i="5"/>
  <c r="N22" i="5"/>
  <c r="D27" i="5" l="1"/>
  <c r="H26" i="5"/>
  <c r="E28" i="5"/>
  <c r="I28" i="5" s="1"/>
  <c r="I27" i="5"/>
  <c r="U22" i="5"/>
  <c r="N23" i="5"/>
  <c r="M24" i="5"/>
  <c r="K24" i="5"/>
  <c r="O24" i="5"/>
  <c r="G26" i="5"/>
  <c r="J26" i="5" s="1"/>
  <c r="F26" i="5"/>
  <c r="C27" i="5"/>
  <c r="J25" i="5"/>
  <c r="U23" i="5" l="1"/>
  <c r="N24" i="5"/>
  <c r="C28" i="5"/>
  <c r="F27" i="5"/>
  <c r="G27" i="5"/>
  <c r="K26" i="5"/>
  <c r="O26" i="5" s="1"/>
  <c r="K25" i="5"/>
  <c r="M25" i="5" s="1"/>
  <c r="D28" i="5"/>
  <c r="H28" i="5" s="1"/>
  <c r="H27" i="5"/>
  <c r="G28" i="5" l="1"/>
  <c r="J28" i="5" s="1"/>
  <c r="F28" i="5"/>
  <c r="O25" i="5"/>
  <c r="M26" i="5"/>
  <c r="U24" i="5"/>
  <c r="N25" i="5"/>
  <c r="J27" i="5"/>
  <c r="K27" i="5" l="1"/>
  <c r="M27" i="5" s="1"/>
  <c r="O27" i="5"/>
  <c r="U25" i="5"/>
  <c r="N26" i="5"/>
  <c r="K28" i="5"/>
  <c r="M28" i="5" s="1"/>
  <c r="O28" i="5"/>
  <c r="U26" i="5" l="1"/>
  <c r="N27" i="5"/>
  <c r="U27" i="5" l="1"/>
  <c r="N28" i="5"/>
  <c r="L8" i="6" l="1"/>
  <c r="U28" i="5"/>
  <c r="I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100-000001000000}">
      <text>
        <r>
          <rPr>
            <sz val="10"/>
            <rFont val="Lohit Devanagari"/>
            <family val="2"/>
          </rPr>
          <t>الحالة: مدخل من سياق المشروع | مبلغ طلب التمويل المذكور سابقًا في العرض</t>
        </r>
        <r>
          <rPr>
            <sz val="10"/>
            <rFont val="Arial"/>
            <family val="2"/>
          </rPr>
          <t>.</t>
        </r>
      </text>
    </comment>
    <comment ref="C6" authorId="0" shapeId="0" xr:uid="{00000000-0006-0000-0100-000002000000}">
      <text>
        <r>
          <rPr>
            <sz val="10"/>
            <rFont val="Lohit Devanagari"/>
            <family val="2"/>
          </rPr>
          <t>الحالة: من العرض | المنشآت الصغيرة</t>
        </r>
        <r>
          <rPr>
            <sz val="10"/>
            <rFont val="Arial"/>
            <family val="2"/>
          </rPr>
          <t>.</t>
        </r>
      </text>
    </comment>
    <comment ref="C7" authorId="0" shapeId="0" xr:uid="{00000000-0006-0000-0100-000003000000}">
      <text>
        <r>
          <rPr>
            <sz val="10"/>
            <rFont val="Lohit Devanagari"/>
            <family val="2"/>
          </rPr>
          <t>الحالة: من العرض | الشركات المتوسطة</t>
        </r>
        <r>
          <rPr>
            <sz val="10"/>
            <rFont val="Arial"/>
            <family val="2"/>
          </rPr>
          <t>.</t>
        </r>
      </text>
    </comment>
    <comment ref="C8" authorId="0" shapeId="0" xr:uid="{00000000-0006-0000-0100-000004000000}">
      <text>
        <r>
          <rPr>
            <sz val="10"/>
            <rFont val="Lohit Devanagari"/>
            <family val="2"/>
          </rPr>
          <t>الحالة: يحتاج إدخالًا | السعر حسب المتطلبات، لذلك يترك صفرًا حتى يحدد الفريق السعر</t>
        </r>
        <r>
          <rPr>
            <sz val="10"/>
            <rFont val="Arial"/>
            <family val="2"/>
          </rPr>
          <t>.</t>
        </r>
      </text>
    </comment>
    <comment ref="C9" authorId="0" shapeId="0" xr:uid="{00000000-0006-0000-0100-000005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0" authorId="0" shapeId="0" xr:uid="{00000000-0006-0000-0100-000006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1" authorId="0" shapeId="0" xr:uid="{00000000-0006-0000-0100-000007000000}">
      <text>
        <r>
          <rPr>
            <sz val="10"/>
            <rFont val="Lohit Devanagari"/>
            <family val="2"/>
          </rPr>
          <t>الحالة: افتراض تخطيطي | اتركه صفرًا حتى تتوافر عقود المؤسسات</t>
        </r>
        <r>
          <rPr>
            <sz val="10"/>
            <rFont val="Arial"/>
            <family val="2"/>
          </rPr>
          <t>.</t>
        </r>
      </text>
    </comment>
    <comment ref="C12" authorId="0" shapeId="0" xr:uid="{00000000-0006-0000-0100-000008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3" authorId="0" shapeId="0" xr:uid="{00000000-0006-0000-0100-000009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4" authorId="0" shapeId="0" xr:uid="{00000000-0006-0000-0100-00000A000000}">
      <text>
        <r>
          <rPr>
            <sz val="10"/>
            <rFont val="Lohit Devanagari"/>
            <family val="2"/>
          </rPr>
          <t>الحالة: افتراض تخطيطي | يتطلب سعرًا سنويًا مدخلًا</t>
        </r>
        <r>
          <rPr>
            <sz val="10"/>
            <rFont val="Arial"/>
            <family val="2"/>
          </rPr>
          <t>.</t>
        </r>
      </text>
    </comment>
    <comment ref="C15" authorId="0" shapeId="0" xr:uid="{00000000-0006-0000-0100-00000B000000}">
      <text>
        <r>
          <rPr>
            <sz val="10"/>
            <rFont val="Lohit Devanagari"/>
            <family val="2"/>
          </rPr>
          <t>الحالة: افتراض تخطيطي | عدّل بعد توفر بيانات الاحتفاظ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100-00000C000000}">
      <text>
        <r>
          <rPr>
            <sz val="10"/>
            <rFont val="Lohit Devanagari"/>
            <family val="2"/>
          </rPr>
          <t>الحالة: افتراض تخطيطي | تستخدم لحساب هامش المساهمة</t>
        </r>
        <r>
          <rPr>
            <sz val="10"/>
            <rFont val="Arial"/>
            <family val="2"/>
          </rPr>
          <t>.</t>
        </r>
      </text>
    </comment>
    <comment ref="C17" authorId="0" shapeId="0" xr:uid="{00000000-0006-0000-0100-00000D000000}">
      <text>
        <r>
          <rPr>
            <sz val="10"/>
            <rFont val="Lohit Devanagari"/>
            <family val="2"/>
          </rPr>
          <t>الحالة: افتراض تخطيطي | يشمل التشغيل الأساسي قبل التوسع</t>
        </r>
        <r>
          <rPr>
            <sz val="10"/>
            <rFont val="Arial"/>
            <family val="2"/>
          </rPr>
          <t>.</t>
        </r>
      </text>
    </comment>
    <comment ref="C18" authorId="0" shapeId="0" xr:uid="{00000000-0006-0000-0100-00000E000000}">
      <text>
        <r>
          <rPr>
            <sz val="10"/>
            <rFont val="Lohit Devanagari"/>
            <family val="2"/>
          </rPr>
          <t>الحالة: اختيار النموذج | الفترة المستخدمة في الرسوم والتدفق التراكمي</t>
        </r>
        <r>
          <rPr>
            <sz val="10"/>
            <rFont val="Arial"/>
            <family val="2"/>
          </rPr>
          <t>.</t>
        </r>
      </text>
    </comment>
    <comment ref="C19" authorId="0" shapeId="0" xr:uid="{00000000-0006-0000-0100-00000F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  <comment ref="C20" authorId="0" shapeId="0" xr:uid="{00000000-0006-0000-0100-000010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<sst xmlns="http://schemas.openxmlformats.org/spreadsheetml/2006/main" count="266" uniqueCount="181">
  <si>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 xml:space="preserve">دليل النموذج المالي ولوحة </t>
    </r>
    <r>
      <rPr>
        <b/>
        <sz val="22"/>
        <color rgb="FFFFFFFF"/>
        <rFont val="Aptos Display"/>
        <charset val="1"/>
      </rPr>
      <t>Power BI</t>
    </r>
  </si>
  <si>
    <r>
      <rPr>
        <i/>
        <sz val="10"/>
        <color rgb="FF64748B"/>
        <rFont val="Lohit Devanagari"/>
        <family val="2"/>
      </rPr>
      <t xml:space="preserve">نسخة محدثة مبنية على ملف </t>
    </r>
    <r>
      <rPr>
        <i/>
        <sz val="10"/>
        <color rgb="FF64748B"/>
        <rFont val="Aptos"/>
        <charset val="1"/>
      </rPr>
      <t>SAEISSmartAuditPitchDeck-Updated.pdf</t>
    </r>
  </si>
  <si>
    <t>الغرض</t>
  </si>
  <si>
    <r>
      <rPr>
        <sz val="11"/>
        <color theme="1"/>
        <rFont val="Lohit Devanagari"/>
        <family val="2"/>
      </rPr>
      <t>نموذج تخطيطي قابل للتحرير لتحليل الميزانية، الإيرادات، الأرباح، الانحرافات، نقطة التعادل، وفترة الاسترداد</t>
    </r>
    <r>
      <rPr>
        <sz val="11"/>
        <color theme="1"/>
        <rFont val="Calibri"/>
        <family val="2"/>
        <charset val="1"/>
      </rPr>
      <t>.</t>
    </r>
  </si>
  <si>
    <t>البيانات المؤكدة من العرض</t>
  </si>
  <si>
    <r>
      <rPr>
        <sz val="11"/>
        <color theme="1"/>
        <rFont val="Lohit Devanagari"/>
        <family val="2"/>
      </rPr>
      <t>أسعار الباقات السنوية</t>
    </r>
    <r>
      <rPr>
        <sz val="11"/>
        <color theme="1"/>
        <rFont val="Calibri"/>
        <family val="2"/>
        <charset val="1"/>
      </rPr>
      <t xml:space="preserve">: 2,500 </t>
    </r>
    <r>
      <rPr>
        <sz val="11"/>
        <color theme="1"/>
        <rFont val="Lohit Devanagari"/>
        <family val="2"/>
      </rPr>
      <t xml:space="preserve">دولار للباقة الأساسية، 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Lohit Devanagari"/>
        <family val="2"/>
      </rPr>
      <t>دولار للباقة الاحترافية، وباقة المؤسسات حسب المتطلبات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كما يذكر العرض أهداف أثر بنسبة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Lohit Devanagari"/>
        <family val="2"/>
      </rPr>
      <t>لدقة اكتشاف الأخطاء و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Lohit Devanagari"/>
        <family val="2"/>
      </rPr>
      <t>لتقليل وقت التدقيق</t>
    </r>
    <r>
      <rPr>
        <sz val="11"/>
        <color theme="1"/>
        <rFont val="Calibri"/>
        <family val="2"/>
        <charset val="1"/>
      </rPr>
      <t>.</t>
    </r>
  </si>
  <si>
    <t>البيانات القابلة للتحرير</t>
  </si>
  <si>
    <r>
      <rPr>
        <sz val="11"/>
        <color theme="1"/>
        <rFont val="Lohit Devanagari"/>
        <family val="2"/>
      </rPr>
      <t>عدد العملاء، سرعة اكتساب العملاء، التكلفة المتغيرة، التكاليف الثابتة، المصروفات الفعلية، وتوزيع الميزانية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القيم الافتراضية في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Lohit Devanagari"/>
        <family val="2"/>
      </rPr>
      <t>سيناريو تخطيطي وليست نتائج محققة</t>
    </r>
    <r>
      <rPr>
        <sz val="11"/>
        <color theme="1"/>
        <rFont val="Calibri"/>
        <family val="2"/>
        <charset val="1"/>
      </rPr>
      <t>.</t>
    </r>
  </si>
  <si>
    <t>طريقة الاستخدام</t>
  </si>
  <si>
    <r>
      <rPr>
        <sz val="11"/>
        <color theme="1"/>
        <rFont val="Lohit Devanagari"/>
        <family val="2"/>
      </rPr>
      <t xml:space="preserve">عدّل الخلايا الزرقاء في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Actuals_Monthly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>Budget_Variance</t>
    </r>
    <r>
      <rPr>
        <sz val="11"/>
        <color theme="1"/>
        <rFont val="Lohit Devanagari"/>
        <family val="2"/>
      </rPr>
      <t xml:space="preserve">، ثم افتح </t>
    </r>
    <r>
      <rPr>
        <sz val="11"/>
        <color theme="1"/>
        <rFont val="Calibri"/>
        <family val="2"/>
        <charset val="1"/>
      </rPr>
      <t xml:space="preserve">PowerBI_Export </t>
    </r>
    <r>
      <rPr>
        <sz val="11"/>
        <color theme="1"/>
        <rFont val="Lohit Devanagari"/>
        <family val="2"/>
      </rPr>
      <t xml:space="preserve">في </t>
    </r>
    <r>
      <rPr>
        <sz val="11"/>
        <color theme="1"/>
        <rFont val="Calibri"/>
        <family val="2"/>
        <charset val="1"/>
      </rPr>
      <t xml:space="preserve">Power BI </t>
    </r>
    <r>
      <rPr>
        <sz val="11"/>
        <color theme="1"/>
        <rFont val="Lohit Devanagari"/>
        <family val="2"/>
      </rPr>
      <t>أو انسخه إلى نموذج البيانات</t>
    </r>
    <r>
      <rPr>
        <sz val="11"/>
        <color theme="1"/>
        <rFont val="Calibri"/>
        <family val="2"/>
        <charset val="1"/>
      </rPr>
      <t>.</t>
    </r>
  </si>
  <si>
    <t>تعريف نقطة التعادل</t>
  </si>
  <si>
    <r>
      <rPr>
        <sz val="11"/>
        <color theme="1"/>
        <rFont val="Lohit Devanagari"/>
        <family val="2"/>
      </rPr>
      <t xml:space="preserve">نقطة التعادل الشهرية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 xml:space="preserve">التكاليف الثابتة الشهرية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Lohit Devanagari"/>
        <family val="2"/>
      </rPr>
      <t>هامش المساهمة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عدد العملاء المكافئ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 xml:space="preserve">نقطة التعادل الشهرية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Lohit Devanagari"/>
        <family val="2"/>
      </rPr>
      <t>متوسط الإيراد الشهري للعميل</t>
    </r>
    <r>
      <rPr>
        <sz val="11"/>
        <color theme="1"/>
        <rFont val="Calibri"/>
        <family val="2"/>
        <charset val="1"/>
      </rPr>
      <t>.</t>
    </r>
  </si>
  <si>
    <t>تعريف فترة الاسترداد</t>
  </si>
  <si>
    <r>
      <rPr>
        <sz val="11"/>
        <color theme="1"/>
        <rFont val="Lohit Devanagari"/>
        <family val="2"/>
      </rPr>
      <t>عدد الأشهر حتى يصبح التدفق النقدي التراكمي بعد طرح التمويل الأولي غير سالب</t>
    </r>
    <r>
      <rPr>
        <sz val="11"/>
        <color theme="1"/>
        <rFont val="Calibri"/>
        <family val="2"/>
        <charset val="1"/>
      </rPr>
      <t>.</t>
    </r>
  </si>
  <si>
    <t>ملاحظة مهمة</t>
  </si>
  <si>
    <r>
      <rPr>
        <sz val="11"/>
        <color theme="1"/>
        <rFont val="Lohit Devanagari"/>
        <family val="2"/>
      </rPr>
      <t>لا تمثل القيم الافتراضية توقعًا ماليًا نهائيًا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>استخدم بيانات العقود والتكاليف الفعلية قبل مشاركة النتائج مع الممولين</t>
    </r>
    <r>
      <rPr>
        <sz val="11"/>
        <color theme="1"/>
        <rFont val="Calibri"/>
        <family val="2"/>
        <charset val="1"/>
      </rPr>
      <t>.</t>
    </r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</si>
  <si>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الافتراضات والمدخلات</t>
    </r>
  </si>
  <si>
    <r>
      <rPr>
        <i/>
        <sz val="10"/>
        <color rgb="FF64748B"/>
        <rFont val="Lohit Devanagari"/>
        <family val="2"/>
      </rPr>
      <t>الخلايا الزرقاء قابلة للتعديل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المصادر المعلّمة من العرض، بينما الافتراضات التشغيلية تحتاج إلى تحقق من الفريق</t>
    </r>
    <r>
      <rPr>
        <i/>
        <sz val="10"/>
        <color rgb="FF64748B"/>
        <rFont val="Aptos"/>
        <charset val="1"/>
      </rPr>
      <t>.</t>
    </r>
  </si>
  <si>
    <t>الفئة</t>
  </si>
  <si>
    <t>المتغير</t>
  </si>
  <si>
    <t>القيمة</t>
  </si>
  <si>
    <t>الوحدة</t>
  </si>
  <si>
    <t>الحالة</t>
  </si>
  <si>
    <t>المصدر أو الملاحظة</t>
  </si>
  <si>
    <t>تمويل</t>
  </si>
  <si>
    <t>طلب التمويل</t>
  </si>
  <si>
    <t>دولار</t>
  </si>
  <si>
    <t>مدخل من سياق المشروع</t>
  </si>
  <si>
    <r>
      <rPr>
        <sz val="11"/>
        <color theme="1"/>
        <rFont val="Lohit Devanagari"/>
        <family val="2"/>
      </rPr>
      <t>مبلغ طلب التمويل المذكور سابقًا في العرض</t>
    </r>
    <r>
      <rPr>
        <sz val="11"/>
        <color theme="1"/>
        <rFont val="Calibri"/>
        <family val="2"/>
        <charset val="1"/>
      </rPr>
      <t>.</t>
    </r>
  </si>
  <si>
    <t>التسعير</t>
  </si>
  <si>
    <t>الباقة الأساسية سنويًا</t>
  </si>
  <si>
    <t>من العرض</t>
  </si>
  <si>
    <r>
      <rPr>
        <sz val="11"/>
        <color theme="1"/>
        <rFont val="Lohit Devanagari"/>
        <family val="2"/>
      </rPr>
      <t>المنشآت الصغيرة</t>
    </r>
    <r>
      <rPr>
        <sz val="11"/>
        <color theme="1"/>
        <rFont val="Calibri"/>
        <family val="2"/>
        <charset val="1"/>
      </rPr>
      <t>.</t>
    </r>
  </si>
  <si>
    <t>الباقة الاحترافية سنويًا</t>
  </si>
  <si>
    <r>
      <rPr>
        <sz val="11"/>
        <color theme="1"/>
        <rFont val="Lohit Devanagari"/>
        <family val="2"/>
      </rPr>
      <t>الشركات المتوسطة</t>
    </r>
    <r>
      <rPr>
        <sz val="11"/>
        <color theme="1"/>
        <rFont val="Calibri"/>
        <family val="2"/>
        <charset val="1"/>
      </rPr>
      <t>.</t>
    </r>
  </si>
  <si>
    <t>باقة المؤسسات سنويًا</t>
  </si>
  <si>
    <t>يحتاج إدخالًا</t>
  </si>
  <si>
    <r>
      <rPr>
        <sz val="11"/>
        <color theme="1"/>
        <rFont val="Lohit Devanagari"/>
        <family val="2"/>
      </rPr>
      <t>السعر حسب المتطلبات، لذلك يترك صفرًا حتى يحدد الفريق السعر</t>
    </r>
    <r>
      <rPr>
        <sz val="11"/>
        <color theme="1"/>
        <rFont val="Calibri"/>
        <family val="2"/>
        <charset val="1"/>
      </rPr>
      <t>.</t>
    </r>
  </si>
  <si>
    <t>العملاء</t>
  </si>
  <si>
    <t>عملاء أساسيون عند البداية</t>
  </si>
  <si>
    <t>عميل</t>
  </si>
  <si>
    <t>افتراض تخطيطي</t>
  </si>
  <si>
    <r>
      <rPr>
        <sz val="11"/>
        <color theme="1"/>
        <rFont val="Lohit Devanagari"/>
        <family val="2"/>
      </rPr>
      <t>عدّل حسب العملاء الحاليين أو التجارب المتوقعة</t>
    </r>
    <r>
      <rPr>
        <sz val="11"/>
        <color theme="1"/>
        <rFont val="Calibri"/>
        <family val="2"/>
        <charset val="1"/>
      </rPr>
      <t>.</t>
    </r>
  </si>
  <si>
    <t>عملاء احترافيون عند البداية</t>
  </si>
  <si>
    <t>عملاء مؤسسات عند البداية</t>
  </si>
  <si>
    <r>
      <rPr>
        <sz val="11"/>
        <color theme="1"/>
        <rFont val="Lohit Devanagari"/>
        <family val="2"/>
      </rPr>
      <t>اتركه صفرًا حتى تتوافر عقود المؤسسات</t>
    </r>
    <r>
      <rPr>
        <sz val="11"/>
        <color theme="1"/>
        <rFont val="Calibri"/>
        <family val="2"/>
        <charset val="1"/>
      </rPr>
      <t>.</t>
    </r>
  </si>
  <si>
    <t>النمو</t>
  </si>
  <si>
    <t>عملاء أساسيون جدد شهريًا</t>
  </si>
  <si>
    <r>
      <rPr>
        <sz val="11"/>
        <color theme="1"/>
        <rFont val="Lohit Devanagari"/>
        <family val="2"/>
      </rPr>
      <t>عميل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</si>
  <si>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theme="1"/>
        <rFont val="Lohit Devanagari"/>
        <family val="2"/>
      </rPr>
      <t>قابل للتغيير إلى خطة المبيعات الواقعية</t>
    </r>
    <r>
      <rPr>
        <sz val="11"/>
        <color theme="1"/>
        <rFont val="Calibri"/>
        <family val="2"/>
        <charset val="1"/>
      </rPr>
      <t>.</t>
    </r>
  </si>
  <si>
    <t>عملاء احترافيون جدد شهريًا</t>
  </si>
  <si>
    <t>عملاء مؤسسات جدد شهريًا</t>
  </si>
  <si>
    <r>
      <rPr>
        <sz val="11"/>
        <color theme="1"/>
        <rFont val="Lohit Devanagari"/>
        <family val="2"/>
      </rPr>
      <t>يتطلب سعرًا سنويًا مدخلًا</t>
    </r>
    <r>
      <rPr>
        <sz val="11"/>
        <color theme="1"/>
        <rFont val="Calibri"/>
        <family val="2"/>
        <charset val="1"/>
      </rPr>
      <t>.</t>
    </r>
  </si>
  <si>
    <t>التكلفة</t>
  </si>
  <si>
    <t>معدل الانسحاب الشهري</t>
  </si>
  <si>
    <t>%</t>
  </si>
  <si>
    <r>
      <rPr>
        <sz val="11"/>
        <color theme="1"/>
        <rFont val="Lohit Devanagari"/>
        <family val="2"/>
      </rPr>
      <t>عدّل بعد توفر بيانات الاحتفاظ</t>
    </r>
    <r>
      <rPr>
        <sz val="11"/>
        <color theme="1"/>
        <rFont val="Calibri"/>
        <family val="2"/>
        <charset val="1"/>
      </rPr>
      <t>.</t>
    </r>
  </si>
  <si>
    <t>التكلفة المتغيرة كنسبة من الإيراد</t>
  </si>
  <si>
    <r>
      <rPr>
        <sz val="11"/>
        <color theme="1"/>
        <rFont val="Lohit Devanagari"/>
        <family val="2"/>
      </rPr>
      <t>تستخدم لحساب هامش المساهمة</t>
    </r>
    <r>
      <rPr>
        <sz val="11"/>
        <color theme="1"/>
        <rFont val="Calibri"/>
        <family val="2"/>
        <charset val="1"/>
      </rPr>
      <t>.</t>
    </r>
  </si>
  <si>
    <t>التكاليف الثابتة الشهرية</t>
  </si>
  <si>
    <r>
      <rPr>
        <sz val="11"/>
        <color theme="1"/>
        <rFont val="Lohit Devanagari"/>
        <family val="2"/>
      </rPr>
      <t>دولار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</si>
  <si>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theme="1"/>
        <rFont val="Lohit Devanagari"/>
        <family val="2"/>
      </rPr>
      <t>يشمل التشغيل الأساسي قبل التوسع</t>
    </r>
    <r>
      <rPr>
        <sz val="11"/>
        <color theme="1"/>
        <rFont val="Calibri"/>
        <family val="2"/>
        <charset val="1"/>
      </rPr>
      <t>.</t>
    </r>
  </si>
  <si>
    <t>النموذج</t>
  </si>
  <si>
    <t>أفق النموذج</t>
  </si>
  <si>
    <t>شهر</t>
  </si>
  <si>
    <t>اختيار النموذج</t>
  </si>
  <si>
    <r>
      <rPr>
        <sz val="11"/>
        <color theme="1"/>
        <rFont val="Lohit Devanagari"/>
        <family val="2"/>
      </rPr>
      <t>الفترة المستخدمة في الرسوم والتدفق التراكمي</t>
    </r>
    <r>
      <rPr>
        <sz val="11"/>
        <color theme="1"/>
        <rFont val="Calibri"/>
        <family val="2"/>
        <charset val="1"/>
      </rPr>
      <t>.</t>
    </r>
  </si>
  <si>
    <t>الأثر</t>
  </si>
  <si>
    <t>هدف دقة اكتشاف الأخطاء</t>
  </si>
  <si>
    <t>هدف من العرض</t>
  </si>
  <si>
    <r>
      <rPr>
        <sz val="11"/>
        <color theme="1"/>
        <rFont val="Lohit Devanagari"/>
        <family val="2"/>
      </rPr>
      <t>يعرض كهدف أداء وليس نتيجة فعلية</t>
    </r>
    <r>
      <rPr>
        <sz val="11"/>
        <color theme="1"/>
        <rFont val="Calibri"/>
        <family val="2"/>
        <charset val="1"/>
      </rPr>
      <t>.</t>
    </r>
  </si>
  <si>
    <t>هدف خفض وقت التدقيق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</si>
  <si>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الميزانية والانحرافات</t>
    </r>
  </si>
  <si>
    <r>
      <rPr>
        <i/>
        <sz val="10"/>
        <color rgb="FF64748B"/>
        <rFont val="Lohit Devanagari"/>
        <family val="2"/>
      </rPr>
      <t>أدخل المصروف الفعلي في الخلايا الزرقاء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الانحراف الإيجابي في المصروفات يعني تجاوز الميزانية</t>
    </r>
    <r>
      <rPr>
        <i/>
        <sz val="10"/>
        <color rgb="FF64748B"/>
        <rFont val="Aptos"/>
        <charset val="1"/>
      </rPr>
      <t>.</t>
    </r>
  </si>
  <si>
    <t>البند</t>
  </si>
  <si>
    <t>الميزانية المخططة</t>
  </si>
  <si>
    <t>الفعلي</t>
  </si>
  <si>
    <t>الانحراف</t>
  </si>
  <si>
    <r>
      <rPr>
        <b/>
        <sz val="10"/>
        <color rgb="FFFFFFFF"/>
        <rFont val="Lohit Devanagari"/>
        <family val="2"/>
      </rPr>
      <t xml:space="preserve">الانحراف </t>
    </r>
    <r>
      <rPr>
        <b/>
        <sz val="10"/>
        <color rgb="FFFFFFFF"/>
        <rFont val="Aptos"/>
        <charset val="1"/>
      </rPr>
      <t>%</t>
    </r>
  </si>
  <si>
    <t>المخرج المرتبط</t>
  </si>
  <si>
    <t>بناء المنتج والنسخة التجريبية</t>
  </si>
  <si>
    <r>
      <rPr>
        <sz val="11"/>
        <color theme="1"/>
        <rFont val="Calibri"/>
        <family val="2"/>
        <charset val="1"/>
      </rPr>
      <t xml:space="preserve">MVP </t>
    </r>
    <r>
      <rPr>
        <sz val="11"/>
        <color theme="1"/>
        <rFont val="Lohit Devanagari"/>
        <family val="2"/>
      </rPr>
      <t>قابل للتشغيل</t>
    </r>
  </si>
  <si>
    <t>التكامل والأمان والامتثال التقني</t>
  </si>
  <si>
    <r>
      <rPr>
        <sz val="11"/>
        <color theme="1"/>
        <rFont val="Lohit Devanagari"/>
        <family val="2"/>
      </rPr>
      <t xml:space="preserve">موصل </t>
    </r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Lohit Devanagari"/>
        <family val="2"/>
      </rPr>
      <t>وبيئة تجربة آمنة</t>
    </r>
  </si>
  <si>
    <t>إثبات السوق وتجربة العملاء</t>
  </si>
  <si>
    <t>تجارب عميل ودراسة حالة</t>
  </si>
  <si>
    <t>التشغيل والامتثال الإداري</t>
  </si>
  <si>
    <t>جاهزية تشغيلية وقانونية</t>
  </si>
  <si>
    <t>الإجمالي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</si>
  <si>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المدخلات الفعلية الشهرية</t>
    </r>
  </si>
  <si>
    <r>
      <rPr>
        <i/>
        <sz val="10"/>
        <color rgb="FF64748B"/>
        <rFont val="Lohit Devanagari"/>
        <family val="2"/>
      </rPr>
      <t>أدخل القيم الفعلية المتاحة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الخلايا الفارغة لا تُعامل كصفر داخل مقارنة الأداء</t>
    </r>
    <r>
      <rPr>
        <i/>
        <sz val="10"/>
        <color rgb="FF64748B"/>
        <rFont val="Aptos"/>
        <charset val="1"/>
      </rPr>
      <t>.</t>
    </r>
  </si>
  <si>
    <t>الشهر</t>
  </si>
  <si>
    <t>الإيراد الفعلي</t>
  </si>
  <si>
    <t>التكلفة المتغيرة الفعلية</t>
  </si>
  <si>
    <t>التكاليف الثابتة الفعلية</t>
  </si>
  <si>
    <t>مصروفات أخرى فعلية</t>
  </si>
  <si>
    <t>ملاحظات</t>
  </si>
  <si>
    <t>أدخل البيانات الفعلية عند توفرها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</si>
  <si>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النموذج التشغيلي الشهري</t>
    </r>
  </si>
  <si>
    <r>
      <rPr>
        <i/>
        <sz val="10"/>
        <color rgb="FF64748B"/>
        <rFont val="Lohit Devanagari"/>
        <family val="2"/>
      </rPr>
      <t>الجزء الأخضر يمثل الخطة</t>
    </r>
    <r>
      <rPr>
        <i/>
        <sz val="10"/>
        <color rgb="FF64748B"/>
        <rFont val="Aptos"/>
        <charset val="1"/>
      </rPr>
      <t>/</t>
    </r>
    <r>
      <rPr>
        <i/>
        <sz val="10"/>
        <color rgb="FF64748B"/>
        <rFont val="Lohit Devanagari"/>
        <family val="2"/>
      </rPr>
      <t xml:space="preserve">السيناريو، والجزء الأزرق يُسحب من </t>
    </r>
    <r>
      <rPr>
        <i/>
        <sz val="10"/>
        <color rgb="FF64748B"/>
        <rFont val="Aptos"/>
        <charset val="1"/>
      </rPr>
      <t xml:space="preserve">Actuals_Monthly </t>
    </r>
    <r>
      <rPr>
        <i/>
        <sz val="10"/>
        <color rgb="FF64748B"/>
        <rFont val="Lohit Devanagari"/>
        <family val="2"/>
      </rPr>
      <t>عند إدخال الفعلي</t>
    </r>
    <r>
      <rPr>
        <i/>
        <sz val="10"/>
        <color rgb="FF64748B"/>
        <rFont val="Aptos"/>
        <charset val="1"/>
      </rPr>
      <t>.</t>
    </r>
  </si>
  <si>
    <t>الربع</t>
  </si>
  <si>
    <t>عملاء أساسيون</t>
  </si>
  <si>
    <t>عملاء احترافيون</t>
  </si>
  <si>
    <t>عملاء مؤسسات</t>
  </si>
  <si>
    <t>إجمالي العملاء</t>
  </si>
  <si>
    <t>إيراد أساسي</t>
  </si>
  <si>
    <t>إيراد احترافي</t>
  </si>
  <si>
    <t>إيراد مؤسسات</t>
  </si>
  <si>
    <t>إجمالي الإيراد المخطط</t>
  </si>
  <si>
    <t>التكلفة المتغيرة المخططة</t>
  </si>
  <si>
    <t>التكاليف الثابتة المخططة</t>
  </si>
  <si>
    <t>الربح التشغيلي المخطط</t>
  </si>
  <si>
    <t>التدفق التراكمي المخطط</t>
  </si>
  <si>
    <t>هامش المساهمة</t>
  </si>
  <si>
    <t>الربح الفعلي</t>
  </si>
  <si>
    <t>انحراف الإيراد</t>
  </si>
  <si>
    <t>انحراف الربح</t>
  </si>
  <si>
    <t>حالة الفعلي</t>
  </si>
  <si>
    <t>Payback Flag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</si>
  <si>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لوحة المؤشرات المالية والتنفيذية</t>
    </r>
  </si>
  <si>
    <r>
      <rPr>
        <i/>
        <sz val="10"/>
        <color rgb="FF64748B"/>
        <rFont val="Lohit Devanagari"/>
        <family val="2"/>
      </rPr>
      <t>مؤشرات الخطة الحالية، مع حقول مقارنة الفعلي عند إدخال البيانات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الأرقام الحالية سيناريو تخطيطي قابل للتعديل</t>
    </r>
    <r>
      <rPr>
        <i/>
        <sz val="10"/>
        <color rgb="FF64748B"/>
        <rFont val="Aptos"/>
        <charset val="1"/>
      </rPr>
      <t>.</t>
    </r>
  </si>
  <si>
    <r>
      <rPr>
        <b/>
        <sz val="11"/>
        <color rgb="FF64748B"/>
        <rFont val="Lohit Devanagari"/>
        <family val="2"/>
      </rPr>
      <t xml:space="preserve">الإيراد المخطط في الشهر </t>
    </r>
    <r>
      <rPr>
        <b/>
        <sz val="11"/>
        <color rgb="FF64748B"/>
        <rFont val="Cambria"/>
        <charset val="1"/>
      </rPr>
      <t>12</t>
    </r>
  </si>
  <si>
    <r>
      <rPr>
        <b/>
        <sz val="11"/>
        <color rgb="FF64748B"/>
        <rFont val="Lohit Devanagari"/>
        <family val="2"/>
      </rPr>
      <t xml:space="preserve">الربح التشغيلي في الشهر </t>
    </r>
    <r>
      <rPr>
        <b/>
        <sz val="11"/>
        <color rgb="FF64748B"/>
        <rFont val="Cambria"/>
        <charset val="1"/>
      </rPr>
      <t>12</t>
    </r>
  </si>
  <si>
    <t>نقطة التعادل الشهرية</t>
  </si>
  <si>
    <t>عدد العملاء عند التعادل</t>
  </si>
  <si>
    <t>فترة الاسترداد</t>
  </si>
  <si>
    <r>
      <rPr>
        <b/>
        <sz val="11"/>
        <color rgb="FF64748B"/>
        <rFont val="Lohit Devanagari"/>
        <family val="2"/>
      </rPr>
      <t xml:space="preserve">التدفق التراكمي في الشهر </t>
    </r>
    <r>
      <rPr>
        <b/>
        <sz val="11"/>
        <color rgb="FF64748B"/>
        <rFont val="Cambria"/>
        <charset val="1"/>
      </rPr>
      <t>24</t>
    </r>
  </si>
  <si>
    <t>الميزانية مقابل الفعلي</t>
  </si>
  <si>
    <t>أهداف الأثر من العرض</t>
  </si>
  <si>
    <t>المخطط</t>
  </si>
  <si>
    <t>المؤشر</t>
  </si>
  <si>
    <t>الهدف</t>
  </si>
  <si>
    <t>الفجوة</t>
  </si>
  <si>
    <t>دقة اكتشاف الأخطاء</t>
  </si>
  <si>
    <t>خفض وقت التدقيق</t>
  </si>
  <si>
    <t>قراءة سريعة للممول</t>
  </si>
  <si>
    <r>
      <rPr>
        <sz val="11"/>
        <color theme="1"/>
        <rFont val="Lohit Devanagari"/>
        <family val="2"/>
      </rPr>
      <t>اللوحة تفصل بين الخطة والفعلي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>الخطة تُبنى من أسعار الباقات الواردة في العرض، بينما الفعلي يظل فارغًا حتى يدخله الفريق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>لذلك فإن أي انحراف أو ربح فعلي لن يظهر إلا بعد إدخال البيانات التشغيلية الحقيقية</t>
    </r>
    <r>
      <rPr>
        <sz val="11"/>
        <color theme="1"/>
        <rFont val="Calibri"/>
        <family val="2"/>
        <charset val="1"/>
      </rPr>
      <t>.</t>
    </r>
  </si>
  <si>
    <t>Month</t>
  </si>
  <si>
    <t>Quarter</t>
  </si>
  <si>
    <t>Basic Clients Plan</t>
  </si>
  <si>
    <t>Professional Clients Plan</t>
  </si>
  <si>
    <t>Enterprise Clients Plan</t>
  </si>
  <si>
    <t>Total Clients Plan</t>
  </si>
  <si>
    <t>Basic Revenue Plan</t>
  </si>
  <si>
    <t>Professional Revenue Plan</t>
  </si>
  <si>
    <t>Enterprise Revenue Plan</t>
  </si>
  <si>
    <t>Total Revenue Plan</t>
  </si>
  <si>
    <t>Variable Cost Plan</t>
  </si>
  <si>
    <t>Fixed Opex Plan</t>
  </si>
  <si>
    <t>Operating Profit Plan</t>
  </si>
  <si>
    <t>Cumulative Project Cash Plan</t>
  </si>
  <si>
    <t>Contribution Margin Plan</t>
  </si>
  <si>
    <t>Actual Revenue</t>
  </si>
  <si>
    <t>Actual Variable Cost</t>
  </si>
  <si>
    <t>Actual Fixed Opex</t>
  </si>
  <si>
    <t>Actual Operating Profit</t>
  </si>
  <si>
    <t>Revenue Variance</t>
  </si>
  <si>
    <t>Profit Variance</t>
  </si>
  <si>
    <t>Budget Status</t>
  </si>
  <si>
    <t>Target Error Detection</t>
  </si>
  <si>
    <t>Target Audit Time Reduction</t>
  </si>
  <si>
    <t>Q1</t>
  </si>
  <si>
    <t>Q2</t>
  </si>
  <si>
    <t>Q3</t>
  </si>
  <si>
    <t>Q4</t>
  </si>
  <si>
    <t>Q5</t>
  </si>
  <si>
    <t>Q6</t>
  </si>
  <si>
    <t>Q7</t>
  </si>
  <si>
    <t>Q8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</si>
  <si>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تحليل الحساسية</t>
    </r>
  </si>
  <si>
    <r>
      <rPr>
        <i/>
        <sz val="10"/>
        <color rgb="FF64748B"/>
        <rFont val="Lohit Devanagari"/>
        <family val="2"/>
      </rPr>
      <t>اختبر تأثير أسعار الباقات والتكلفة المتغيرة وسرعة اكتساب العملاء على الربحية ونقطة التعادل</t>
    </r>
    <r>
      <rPr>
        <i/>
        <sz val="10"/>
        <color rgb="FF64748B"/>
        <rFont val="Aptos"/>
        <charset val="1"/>
      </rPr>
      <t>.</t>
    </r>
  </si>
  <si>
    <t>السيناريو</t>
  </si>
  <si>
    <t>سعر أساسي سنوي</t>
  </si>
  <si>
    <t>سعر احترافي سنوي</t>
  </si>
  <si>
    <r>
      <rPr>
        <b/>
        <sz val="10"/>
        <color rgb="FFFFFFFF"/>
        <rFont val="Lohit Devanagari"/>
        <family val="2"/>
      </rPr>
      <t>عملاء أساسيون جدد</t>
    </r>
    <r>
      <rPr>
        <b/>
        <sz val="10"/>
        <color rgb="FFFFFFFF"/>
        <rFont val="Aptos"/>
        <charset val="1"/>
      </rPr>
      <t>/</t>
    </r>
    <r>
      <rPr>
        <b/>
        <sz val="10"/>
        <color rgb="FFFFFFFF"/>
        <rFont val="Lohit Devanagari"/>
        <family val="2"/>
      </rPr>
      <t>شهر</t>
    </r>
  </si>
  <si>
    <r>
      <rPr>
        <b/>
        <sz val="10"/>
        <color rgb="FFFFFFFF"/>
        <rFont val="Lohit Devanagari"/>
        <family val="2"/>
      </rPr>
      <t>عملاء احترافيون جدد</t>
    </r>
    <r>
      <rPr>
        <b/>
        <sz val="10"/>
        <color rgb="FFFFFFFF"/>
        <rFont val="Aptos"/>
        <charset val="1"/>
      </rPr>
      <t>/</t>
    </r>
    <r>
      <rPr>
        <b/>
        <sz val="10"/>
        <color rgb="FFFFFFFF"/>
        <rFont val="Lohit Devanagari"/>
        <family val="2"/>
      </rPr>
      <t>شهر</t>
    </r>
  </si>
  <si>
    <r>
      <rPr>
        <b/>
        <sz val="10"/>
        <color rgb="FFFFFFFF"/>
        <rFont val="Lohit Devanagari"/>
        <family val="2"/>
      </rPr>
      <t xml:space="preserve">تكلفة متغيرة </t>
    </r>
    <r>
      <rPr>
        <b/>
        <sz val="10"/>
        <color rgb="FFFFFFFF"/>
        <rFont val="Aptos"/>
        <charset val="1"/>
      </rPr>
      <t>%</t>
    </r>
  </si>
  <si>
    <t>محافظ</t>
  </si>
  <si>
    <t>يرتبط بالحالة التشغيلية في النموذج الأساسي</t>
  </si>
  <si>
    <t>أساسي</t>
  </si>
  <si>
    <t>متفائل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</si>
</sst>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&quot;-$&quot;#,##0;\–"/>
    <numFmt numFmtId="165" formatCode="0.0"/>
    <numFmt numFmtId="166" formatCode="0.0%;[Red]\-0.0%;\–"/>
  </numFmts>
  <fonts count="21">
    <font>
      <sz val="11"/>
      <color theme="1"/>
      <name val="Calibri"/>
      <family val="2"/>
      <charset val="1"/>
    </font>
    <font>
      <b/>
      <sz val="22"/>
      <color rgb="FFFFFFFF"/>
      <name val="Aptos Display"/>
      <charset val="1"/>
    </font>
    <font>
      <b/>
      <sz val="22"/>
      <color rgb="FFFFFFFF"/>
      <name val="Lohit Devanagari"/>
      <family val="2"/>
    </font>
    <font>
      <i/>
      <sz val="10"/>
      <color rgb="FF64748B"/>
      <name val="Lohit Devanagari"/>
      <family val="2"/>
    </font>
    <font>
      <i/>
      <sz val="10"/>
      <color rgb="FF64748B"/>
      <name val="Aptos"/>
      <charset val="1"/>
    </font>
    <font>
      <b/>
      <sz val="11"/>
      <color rgb="FF0B6B52"/>
      <name val="Lohit Devanagari"/>
      <family val="2"/>
    </font>
    <font>
      <sz val="11"/>
      <color theme="1"/>
      <name val="Lohit Devanagari"/>
      <family val="2"/>
    </font>
    <font>
      <b/>
      <sz val="10"/>
      <color rgb="FFFFFFFF"/>
      <name val="Lohit Devanagari"/>
      <family val="2"/>
    </font>
    <font>
      <b/>
      <sz val="11"/>
      <color rgb="FF1F4E79"/>
      <name val="Cambria"/>
      <charset val="1"/>
    </font>
    <font>
      <sz val="10"/>
      <name val="Lohit Devanagari"/>
      <family val="2"/>
    </font>
    <font>
      <sz val="10"/>
      <name val="Arial"/>
      <family val="2"/>
    </font>
    <font>
      <b/>
      <sz val="10"/>
      <color rgb="FFFFFFFF"/>
      <name val="Aptos"/>
      <charset val="1"/>
    </font>
    <font>
      <b/>
      <sz val="11"/>
      <color rgb="FF0B6B52"/>
      <name val="Cambria"/>
      <charset val="1"/>
    </font>
    <font>
      <sz val="11"/>
      <color rgb="FF1F4E79"/>
      <name val="Cambria"/>
      <charset val="1"/>
    </font>
    <font>
      <b/>
      <sz val="11"/>
      <color rgb="FF64748B"/>
      <name val="Lohit Devanagari"/>
      <family val="2"/>
    </font>
    <font>
      <b/>
      <sz val="20"/>
      <color rgb="FF0B6B52"/>
      <name val="Cambria"/>
      <charset val="1"/>
    </font>
    <font>
      <b/>
      <sz val="11"/>
      <color rgb="FF64748B"/>
      <name val="Cambria"/>
      <charset val="1"/>
    </font>
    <font>
      <b/>
      <sz val="20"/>
      <color rgb="FF168AAD"/>
      <name val="Cambria"/>
      <charset val="1"/>
    </font>
    <font>
      <b/>
      <sz val="20"/>
      <color rgb="FF5B5BD6"/>
      <name val="Cambria"/>
      <charset val="1"/>
    </font>
    <font>
      <b/>
      <sz val="20"/>
      <color rgb="FFC48817"/>
      <name val="Cambria"/>
      <charset val="1"/>
    </font>
    <font>
      <b/>
      <sz val="14"/>
      <color rgb="FF0B6B52"/>
      <name val="Lohit Devanagari"/>
      <family val="2"/>
    </font>
  </fonts>
  <fills count="6">
    <fill>
      <patternFill patternType="none"/>
    </fill>
    <fill>
      <patternFill patternType="gray125"/>
    </fill>
    <fill>
      <patternFill patternType="solid">
        <fgColor rgb="FF101A2E"/>
        <bgColor rgb="FF000000"/>
      </patternFill>
    </fill>
    <fill>
      <patternFill patternType="solid">
        <fgColor rgb="FFDDEEFF"/>
        <bgColor rgb="FFE3F7EE"/>
      </patternFill>
    </fill>
    <fill>
      <patternFill patternType="solid">
        <fgColor rgb="FFF7FAFC"/>
        <bgColor rgb="FFFFFFFF"/>
      </patternFill>
    </fill>
    <fill>
      <patternFill patternType="solid">
        <fgColor rgb="FF0B6B52"/>
        <b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B887"/>
      </bottom>
      <diagonal/>
    </border>
    <border>
      <left/>
      <right/>
      <top/>
      <bottom style="thin">
        <color rgb="FFD8E1E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1" fillId="2" borderId="0" xfId="0" applyFont="1" applyFill="1" applyBorder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8" fillId="3" borderId="2" xfId="0" applyNumberFormat="1" applyFont="1" applyFill="1" applyBorder="1" applyAlignment="1">
      <alignment vertical="center" wrapText="1"/>
    </xf>
    <xf numFmtId="165" fontId="8" fillId="3" borderId="2" xfId="0" applyNumberFormat="1" applyFont="1" applyFill="1" applyBorder="1" applyAlignment="1">
      <alignment vertical="center" wrapText="1"/>
    </xf>
    <xf numFmtId="166" fontId="8" fillId="3" borderId="2" xfId="0" applyNumberFormat="1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64" fontId="12" fillId="0" borderId="2" xfId="0" applyNumberFormat="1" applyFont="1" applyBorder="1" applyAlignment="1">
      <alignment vertical="center" wrapText="1"/>
    </xf>
    <xf numFmtId="166" fontId="12" fillId="0" borderId="2" xfId="0" applyNumberFormat="1" applyFont="1" applyBorder="1" applyAlignment="1">
      <alignment vertical="center" wrapText="1"/>
    </xf>
    <xf numFmtId="164" fontId="13" fillId="3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165" fontId="0" fillId="0" borderId="2" xfId="0" applyNumberFormat="1" applyBorder="1" applyAlignment="1">
      <alignment vertical="center" wrapText="1"/>
    </xf>
    <xf numFmtId="0" fontId="14" fillId="4" borderId="0" xfId="0" applyFont="1" applyFill="1" applyAlignment="1">
      <alignment horizontal="center"/>
    </xf>
    <xf numFmtId="164" fontId="15" fillId="4" borderId="0" xfId="0" applyNumberFormat="1" applyFont="1" applyFill="1" applyAlignment="1">
      <alignment horizontal="center"/>
    </xf>
    <xf numFmtId="164" fontId="17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166" fontId="15" fillId="4" borderId="0" xfId="0" applyNumberFormat="1" applyFont="1" applyFill="1" applyAlignment="1">
      <alignment horizontal="center"/>
    </xf>
    <xf numFmtId="164" fontId="19" fillId="4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0" fontId="20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عادي" xfId="0" builtinId="0"/>
  </cellStyles>
  <dxfs count="2">
    <dxf>
      <fill>
        <patternFill>
          <bgColor rgb="FFE3F7EE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C0C0C0"/>
      <rgbColor rgb="FF878787"/>
      <rgbColor rgb="FF9999FF"/>
      <rgbColor rgb="FFBE4B48"/>
      <rgbColor rgb="FFF7FAFC"/>
      <rgbColor rgb="FFE3F7EE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B6B52"/>
      <rgbColor rgb="FF0000FF"/>
      <rgbColor rgb="FF00CCFF"/>
      <rgbColor rgb="FFDDEEFF"/>
      <rgbColor rgb="FFD8E1E8"/>
      <rgbColor rgb="FFFFFF99"/>
      <rgbColor rgb="FF99CCFF"/>
      <rgbColor rgb="FFFF99CC"/>
      <rgbColor rgb="FFCC99FF"/>
      <rgbColor rgb="FFFCE4E4"/>
      <rgbColor rgb="FF5B5BD6"/>
      <rgbColor rgb="FF33CCCC"/>
      <rgbColor rgb="FF99CC00"/>
      <rgbColor rgb="FFFFCC00"/>
      <rgbColor rgb="FFC48817"/>
      <rgbColor rgb="FFFF6600"/>
      <rgbColor rgb="FF64748B"/>
      <rgbColor rgb="FF969696"/>
      <rgbColor rgb="FF003366"/>
      <rgbColor rgb="FF11B887"/>
      <rgbColor rgb="FF101A2E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الإيرادات والأرباح المخططة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Monthly_Model!$J$4</c:f>
              <c:strCache>
                <c:ptCount val="1"/>
                <c:pt idx="0">
                  <c:v>إجمالي الإيراد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Monthly_Model!$J$5:$J$28</c:f>
              <c:numCache>
                <c:formatCode>\$#,##0;[Red]"-$"#,##0;\–</c:formatCode>
                <c:ptCount val="24"/>
                <c:pt idx="0">
                  <c:v>260.41666666666669</c:v>
                </c:pt>
                <c:pt idx="1">
                  <c:v>520.83333333333337</c:v>
                </c:pt>
                <c:pt idx="2">
                  <c:v>781.25</c:v>
                </c:pt>
                <c:pt idx="3">
                  <c:v>1041.6666666666667</c:v>
                </c:pt>
                <c:pt idx="4">
                  <c:v>1302.0833333333335</c:v>
                </c:pt>
                <c:pt idx="5">
                  <c:v>1562.5</c:v>
                </c:pt>
                <c:pt idx="6">
                  <c:v>1822.9166666666665</c:v>
                </c:pt>
                <c:pt idx="7">
                  <c:v>2083.3333333333335</c:v>
                </c:pt>
                <c:pt idx="8">
                  <c:v>2343.75</c:v>
                </c:pt>
                <c:pt idx="9">
                  <c:v>2604.166666666667</c:v>
                </c:pt>
                <c:pt idx="10">
                  <c:v>2864.583333333333</c:v>
                </c:pt>
                <c:pt idx="11">
                  <c:v>3125</c:v>
                </c:pt>
                <c:pt idx="12">
                  <c:v>3385.416666666667</c:v>
                </c:pt>
                <c:pt idx="13">
                  <c:v>3645.833333333333</c:v>
                </c:pt>
                <c:pt idx="14">
                  <c:v>3906.25</c:v>
                </c:pt>
                <c:pt idx="15">
                  <c:v>4166.666666666667</c:v>
                </c:pt>
                <c:pt idx="16">
                  <c:v>4427.083333333333</c:v>
                </c:pt>
                <c:pt idx="17">
                  <c:v>4687.5</c:v>
                </c:pt>
                <c:pt idx="18">
                  <c:v>4947.916666666667</c:v>
                </c:pt>
                <c:pt idx="19">
                  <c:v>5208.3333333333339</c:v>
                </c:pt>
                <c:pt idx="20">
                  <c:v>5468.75</c:v>
                </c:pt>
                <c:pt idx="21">
                  <c:v>5729.1666666666661</c:v>
                </c:pt>
                <c:pt idx="22">
                  <c:v>5989.5833333333339</c:v>
                </c:pt>
                <c:pt idx="23">
                  <c:v>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A1-474B-87B0-0B093E34F8A1}"/>
            </c:ext>
          </c:extLst>
        </c:ser>
        <c:ser>
          <c:idx val="1"/>
          <c:order val="1"/>
          <c:tx>
            <c:strRef>
              <c:f>Monthly_Model!$M$4</c:f>
              <c:strCache>
                <c:ptCount val="1"/>
                <c:pt idx="0">
                  <c:v>الربح التشغيلي المخطط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Monthly_Model!$M$5:$M$28</c:f>
              <c:numCache>
                <c:formatCode>\$#,##0;[Red]"-$"#,##0;\–</c:formatCode>
                <c:ptCount val="24"/>
                <c:pt idx="0">
                  <c:v>-4291.666666666667</c:v>
                </c:pt>
                <c:pt idx="1">
                  <c:v>-4083.3333333333335</c:v>
                </c:pt>
                <c:pt idx="2">
                  <c:v>-3875</c:v>
                </c:pt>
                <c:pt idx="3">
                  <c:v>-3666.6666666666665</c:v>
                </c:pt>
                <c:pt idx="4">
                  <c:v>-3458.333333333333</c:v>
                </c:pt>
                <c:pt idx="5">
                  <c:v>-3250</c:v>
                </c:pt>
                <c:pt idx="6">
                  <c:v>-3041.666666666667</c:v>
                </c:pt>
                <c:pt idx="7">
                  <c:v>-2833.333333333333</c:v>
                </c:pt>
                <c:pt idx="8">
                  <c:v>-2625</c:v>
                </c:pt>
                <c:pt idx="9">
                  <c:v>-2416.6666666666665</c:v>
                </c:pt>
                <c:pt idx="10">
                  <c:v>-2208.3333333333335</c:v>
                </c:pt>
                <c:pt idx="11">
                  <c:v>-2000</c:v>
                </c:pt>
                <c:pt idx="12">
                  <c:v>-1791.6666666666665</c:v>
                </c:pt>
                <c:pt idx="13">
                  <c:v>-1583.3333333333335</c:v>
                </c:pt>
                <c:pt idx="14">
                  <c:v>-1375</c:v>
                </c:pt>
                <c:pt idx="15">
                  <c:v>-1166.6666666666665</c:v>
                </c:pt>
                <c:pt idx="16">
                  <c:v>-958.33333333333348</c:v>
                </c:pt>
                <c:pt idx="17">
                  <c:v>-750</c:v>
                </c:pt>
                <c:pt idx="18">
                  <c:v>-541.66666666666652</c:v>
                </c:pt>
                <c:pt idx="19">
                  <c:v>-333.33333333333303</c:v>
                </c:pt>
                <c:pt idx="20">
                  <c:v>-125</c:v>
                </c:pt>
                <c:pt idx="21">
                  <c:v>83.33333333333303</c:v>
                </c:pt>
                <c:pt idx="22">
                  <c:v>291.66666666666697</c:v>
                </c:pt>
                <c:pt idx="23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A1-474B-87B0-0B093E34F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502547"/>
        <c:axId val="21878293"/>
      </c:lineChart>
      <c:catAx>
        <c:axId val="98502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78293"/>
        <c:crosses val="autoZero"/>
        <c:auto val="1"/>
        <c:lblAlgn val="ctr"/>
        <c:lblOffset val="100"/>
        <c:noMultiLvlLbl val="0"/>
      </c:catAx>
      <c:valAx>
        <c:axId val="2187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02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التدفق النقدي التراكمي وفترة الاسترداد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Monthly_Model!$N$4</c:f>
              <c:strCache>
                <c:ptCount val="1"/>
                <c:pt idx="0">
                  <c:v>التدفق التراكمي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Monthly_Model!$N$5:$N$28</c:f>
              <c:numCache>
                <c:formatCode>\$#,##0;[Red]"-$"#,##0;\–</c:formatCode>
                <c:ptCount val="24"/>
                <c:pt idx="0">
                  <c:v>-30791.666666666668</c:v>
                </c:pt>
                <c:pt idx="1">
                  <c:v>-34875</c:v>
                </c:pt>
                <c:pt idx="2">
                  <c:v>-38750</c:v>
                </c:pt>
                <c:pt idx="3">
                  <c:v>-42416.666666666664</c:v>
                </c:pt>
                <c:pt idx="4">
                  <c:v>-45875</c:v>
                </c:pt>
                <c:pt idx="5">
                  <c:v>-49125</c:v>
                </c:pt>
                <c:pt idx="6">
                  <c:v>-52166.666666666664</c:v>
                </c:pt>
                <c:pt idx="7">
                  <c:v>-55000</c:v>
                </c:pt>
                <c:pt idx="8">
                  <c:v>-57625</c:v>
                </c:pt>
                <c:pt idx="9">
                  <c:v>-60041.666666666664</c:v>
                </c:pt>
                <c:pt idx="10">
                  <c:v>-62250</c:v>
                </c:pt>
                <c:pt idx="11">
                  <c:v>-64250</c:v>
                </c:pt>
                <c:pt idx="12">
                  <c:v>-66041.666666666672</c:v>
                </c:pt>
                <c:pt idx="13">
                  <c:v>-67625</c:v>
                </c:pt>
                <c:pt idx="14">
                  <c:v>-69000</c:v>
                </c:pt>
                <c:pt idx="15">
                  <c:v>-70166.666666666672</c:v>
                </c:pt>
                <c:pt idx="16">
                  <c:v>-71125</c:v>
                </c:pt>
                <c:pt idx="17">
                  <c:v>-71875</c:v>
                </c:pt>
                <c:pt idx="18">
                  <c:v>-72416.666666666672</c:v>
                </c:pt>
                <c:pt idx="19">
                  <c:v>-72750</c:v>
                </c:pt>
                <c:pt idx="20">
                  <c:v>-72875</c:v>
                </c:pt>
                <c:pt idx="21">
                  <c:v>-72791.666666666672</c:v>
                </c:pt>
                <c:pt idx="22">
                  <c:v>-72500</c:v>
                </c:pt>
                <c:pt idx="23">
                  <c:v>-72000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94-448B-85DD-3547C5DB4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706511"/>
        <c:axId val="87508795"/>
      </c:lineChart>
      <c:catAx>
        <c:axId val="337065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08795"/>
        <c:crosses val="autoZero"/>
        <c:auto val="1"/>
        <c:lblAlgn val="ctr"/>
        <c:lblOffset val="100"/>
        <c:noMultiLvlLbl val="0"/>
      </c:catAx>
      <c:valAx>
        <c:axId val="87508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06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81360</xdr:rowOff>
    </xdr:from>
    <xdr:to>
      <xdr:col>5</xdr:col>
      <xdr:colOff>239040</xdr:colOff>
      <xdr:row>34</xdr:row>
      <xdr:rowOff>124560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11</xdr:col>
      <xdr:colOff>239040</xdr:colOff>
      <xdr:row>34</xdr:row>
      <xdr:rowOff>124560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EIS_Export" displayName="SAEIS_Export" ref="A1:X25" totalsRowShown="0">
  <autoFilter ref="A1:X25" xr:uid="{00000000-0009-0000-0100-000001000000}"/>
  <tableColumns count="24">
    <tableColumn id="1" xr3:uid="{00000000-0010-0000-0000-000001000000}" name="Month"/>
    <tableColumn id="2" xr3:uid="{00000000-0010-0000-0000-000002000000}" name="Quarter"/>
    <tableColumn id="3" xr3:uid="{00000000-0010-0000-0000-000003000000}" name="Basic Clients Plan"/>
    <tableColumn id="4" xr3:uid="{00000000-0010-0000-0000-000004000000}" name="Professional Clients Plan"/>
    <tableColumn id="5" xr3:uid="{00000000-0010-0000-0000-000005000000}" name="Enterprise Clients Plan"/>
    <tableColumn id="6" xr3:uid="{00000000-0010-0000-0000-000006000000}" name="Total Clients Plan"/>
    <tableColumn id="7" xr3:uid="{00000000-0010-0000-0000-000007000000}" name="Basic Revenue Plan"/>
    <tableColumn id="8" xr3:uid="{00000000-0010-0000-0000-000008000000}" name="Professional Revenue Plan"/>
    <tableColumn id="9" xr3:uid="{00000000-0010-0000-0000-000009000000}" name="Enterprise Revenue Plan"/>
    <tableColumn id="10" xr3:uid="{00000000-0010-0000-0000-00000A000000}" name="Total Revenue Plan"/>
    <tableColumn id="11" xr3:uid="{00000000-0010-0000-0000-00000B000000}" name="Variable Cost Plan"/>
    <tableColumn id="12" xr3:uid="{00000000-0010-0000-0000-00000C000000}" name="Fixed Opex Plan"/>
    <tableColumn id="13" xr3:uid="{00000000-0010-0000-0000-00000D000000}" name="Operating Profit Plan"/>
    <tableColumn id="14" xr3:uid="{00000000-0010-0000-0000-00000E000000}" name="Cumulative Project Cash Plan"/>
    <tableColumn id="15" xr3:uid="{00000000-0010-0000-0000-00000F000000}" name="Contribution Margin Plan"/>
    <tableColumn id="16" xr3:uid="{00000000-0010-0000-0000-000010000000}" name="Actual Revenue"/>
    <tableColumn id="17" xr3:uid="{00000000-0010-0000-0000-000011000000}" name="Actual Variable Cost"/>
    <tableColumn id="18" xr3:uid="{00000000-0010-0000-0000-000012000000}" name="Actual Fixed Opex"/>
    <tableColumn id="19" xr3:uid="{00000000-0010-0000-0000-000013000000}" name="Actual Operating Profit"/>
    <tableColumn id="20" xr3:uid="{00000000-0010-0000-0000-000014000000}" name="Revenue Variance"/>
    <tableColumn id="21" xr3:uid="{00000000-0010-0000-0000-000015000000}" name="Profit Variance"/>
    <tableColumn id="22" xr3:uid="{00000000-0010-0000-0000-000016000000}" name="Budget Status"/>
    <tableColumn id="23" xr3:uid="{00000000-0010-0000-0000-000017000000}" name="Target Error Detection"/>
    <tableColumn id="24" xr3:uid="{00000000-0010-0000-0000-000018000000}" name="Target Audit Time Redu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25" customWidth="1"/>
    <col min="2" max="2" width="115" customWidth="1"/>
  </cols>
  <sheetData>
    <row r="1" spans="1:8" ht="33.75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1.75" customHeight="1">
      <c r="A2" s="3" t="s">
        <v>1</v>
      </c>
      <c r="B2" s="3"/>
      <c r="C2" s="3"/>
      <c r="D2" s="3"/>
      <c r="E2" s="3"/>
      <c r="F2" s="3"/>
      <c r="G2" s="3"/>
      <c r="H2" s="3"/>
    </row>
    <row r="4" spans="1:8" ht="42" customHeight="1">
      <c r="A4" s="5" t="s">
        <v>2</v>
      </c>
      <c r="B4" s="6" t="s">
        <v>3</v>
      </c>
    </row>
    <row r="5" spans="1:8" ht="42" customHeight="1">
      <c r="A5" s="5" t="s">
        <v>4</v>
      </c>
      <c r="B5" s="6" t="s">
        <v>5</v>
      </c>
    </row>
    <row r="6" spans="1:8" ht="42" customHeight="1">
      <c r="A6" s="5" t="s">
        <v>6</v>
      </c>
      <c r="B6" s="6" t="s">
        <v>7</v>
      </c>
    </row>
    <row r="7" spans="1:8" ht="42" customHeight="1">
      <c r="A7" s="5" t="s">
        <v>8</v>
      </c>
      <c r="B7" s="6" t="s">
        <v>9</v>
      </c>
    </row>
    <row r="8" spans="1:8" ht="42" customHeight="1">
      <c r="A8" s="5" t="s">
        <v>10</v>
      </c>
      <c r="B8" s="6" t="s">
        <v>11</v>
      </c>
    </row>
    <row r="9" spans="1:8" ht="42" customHeight="1">
      <c r="A9" s="5" t="s">
        <v>12</v>
      </c>
      <c r="B9" s="6" t="s">
        <v>13</v>
      </c>
    </row>
    <row r="10" spans="1:8" ht="42" customHeight="1">
      <c r="A10" s="5" t="s">
        <v>14</v>
      </c>
      <c r="B10" s="6" t="s">
        <v>15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14" customWidth="1"/>
    <col min="2" max="2" width="34" customWidth="1"/>
    <col min="3" max="3" width="16" customWidth="1"/>
    <col min="4" max="4" width="15" customWidth="1"/>
    <col min="5" max="5" width="22" customWidth="1"/>
    <col min="6" max="6" width="65" customWidth="1"/>
  </cols>
  <sheetData>
    <row r="1" spans="1:8" ht="33.75" customHeight="1">
      <c r="A1" s="4" t="s">
        <v>16</v>
      </c>
      <c r="B1" s="4"/>
      <c r="C1" s="4"/>
      <c r="D1" s="4"/>
      <c r="E1" s="4"/>
      <c r="F1" s="4"/>
      <c r="G1" s="4"/>
      <c r="H1" s="4"/>
    </row>
    <row r="2" spans="1:8" ht="21.75" customHeight="1">
      <c r="A2" s="3" t="s">
        <v>17</v>
      </c>
      <c r="B2" s="3"/>
      <c r="C2" s="3"/>
      <c r="D2" s="3"/>
      <c r="E2" s="3"/>
      <c r="F2" s="3"/>
      <c r="G2" s="3"/>
      <c r="H2" s="3"/>
    </row>
    <row r="4" spans="1:8" ht="31.5" customHeight="1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</row>
    <row r="5" spans="1:8" ht="24.75" customHeight="1">
      <c r="A5" s="8" t="s">
        <v>24</v>
      </c>
      <c r="B5" s="8" t="s">
        <v>25</v>
      </c>
      <c r="C5" s="9">
        <v>26500</v>
      </c>
      <c r="D5" s="8" t="s">
        <v>26</v>
      </c>
      <c r="E5" s="8" t="s">
        <v>27</v>
      </c>
      <c r="F5" s="8" t="s">
        <v>28</v>
      </c>
    </row>
    <row r="6" spans="1:8" ht="24.75" customHeight="1">
      <c r="A6" s="8" t="s">
        <v>29</v>
      </c>
      <c r="B6" s="8" t="s">
        <v>30</v>
      </c>
      <c r="C6" s="9">
        <v>2500</v>
      </c>
      <c r="D6" s="8" t="s">
        <v>26</v>
      </c>
      <c r="E6" s="8" t="s">
        <v>31</v>
      </c>
      <c r="F6" s="8" t="s">
        <v>32</v>
      </c>
    </row>
    <row r="7" spans="1:8" ht="24.75" customHeight="1">
      <c r="A7" s="8" t="s">
        <v>29</v>
      </c>
      <c r="B7" s="8" t="s">
        <v>33</v>
      </c>
      <c r="C7" s="9">
        <v>7500</v>
      </c>
      <c r="D7" s="8" t="s">
        <v>26</v>
      </c>
      <c r="E7" s="8" t="s">
        <v>31</v>
      </c>
      <c r="F7" s="8" t="s">
        <v>34</v>
      </c>
    </row>
    <row r="8" spans="1:8" ht="24.75" customHeight="1">
      <c r="A8" s="8" t="s">
        <v>29</v>
      </c>
      <c r="B8" s="8" t="s">
        <v>35</v>
      </c>
      <c r="C8" s="9">
        <v>0</v>
      </c>
      <c r="D8" s="8" t="s">
        <v>26</v>
      </c>
      <c r="E8" s="8" t="s">
        <v>36</v>
      </c>
      <c r="F8" s="8" t="s">
        <v>37</v>
      </c>
    </row>
    <row r="9" spans="1:8" ht="24.75" customHeight="1">
      <c r="A9" s="8" t="s">
        <v>38</v>
      </c>
      <c r="B9" s="8" t="s">
        <v>39</v>
      </c>
      <c r="C9" s="10">
        <v>0</v>
      </c>
      <c r="D9" s="8" t="s">
        <v>40</v>
      </c>
      <c r="E9" s="8" t="s">
        <v>41</v>
      </c>
      <c r="F9" s="8" t="s">
        <v>42</v>
      </c>
    </row>
    <row r="10" spans="1:8" ht="24.75" customHeight="1">
      <c r="A10" s="8" t="s">
        <v>38</v>
      </c>
      <c r="B10" s="8" t="s">
        <v>43</v>
      </c>
      <c r="C10" s="10">
        <v>0</v>
      </c>
      <c r="D10" s="8" t="s">
        <v>40</v>
      </c>
      <c r="E10" s="8" t="s">
        <v>41</v>
      </c>
      <c r="F10" s="8" t="s">
        <v>42</v>
      </c>
    </row>
    <row r="11" spans="1:8" ht="24.75" customHeight="1">
      <c r="A11" s="8" t="s">
        <v>38</v>
      </c>
      <c r="B11" s="8" t="s">
        <v>44</v>
      </c>
      <c r="C11" s="10">
        <v>0</v>
      </c>
      <c r="D11" s="8" t="s">
        <v>40</v>
      </c>
      <c r="E11" s="8" t="s">
        <v>41</v>
      </c>
      <c r="F11" s="8" t="s">
        <v>45</v>
      </c>
    </row>
    <row r="12" spans="1:8" ht="24.75" customHeight="1">
      <c r="A12" s="8" t="s">
        <v>46</v>
      </c>
      <c r="B12" s="8" t="s">
        <v>47</v>
      </c>
      <c r="C12" s="10">
        <v>0.5</v>
      </c>
      <c r="D12" s="8" t="s">
        <v>48</v>
      </c>
      <c r="E12" s="8" t="s">
        <v>41</v>
      </c>
      <c r="F12" s="8" t="s">
        <v>49</v>
      </c>
    </row>
    <row r="13" spans="1:8" ht="24.75" customHeight="1">
      <c r="A13" s="8" t="s">
        <v>46</v>
      </c>
      <c r="B13" s="8" t="s">
        <v>50</v>
      </c>
      <c r="C13" s="10">
        <v>0.25</v>
      </c>
      <c r="D13" s="8" t="s">
        <v>48</v>
      </c>
      <c r="E13" s="8" t="s">
        <v>41</v>
      </c>
      <c r="F13" s="8" t="s">
        <v>49</v>
      </c>
    </row>
    <row r="14" spans="1:8" ht="24.75" customHeight="1">
      <c r="A14" s="8" t="s">
        <v>46</v>
      </c>
      <c r="B14" s="8" t="s">
        <v>51</v>
      </c>
      <c r="C14" s="10">
        <v>0</v>
      </c>
      <c r="D14" s="8" t="s">
        <v>48</v>
      </c>
      <c r="E14" s="8" t="s">
        <v>41</v>
      </c>
      <c r="F14" s="8" t="s">
        <v>52</v>
      </c>
    </row>
    <row r="15" spans="1:8" ht="24.75" customHeight="1">
      <c r="A15" s="8" t="s">
        <v>53</v>
      </c>
      <c r="B15" s="8" t="s">
        <v>54</v>
      </c>
      <c r="C15" s="11">
        <v>0</v>
      </c>
      <c r="D15" s="12" t="s">
        <v>55</v>
      </c>
      <c r="E15" s="8" t="s">
        <v>41</v>
      </c>
      <c r="F15" s="8" t="s">
        <v>56</v>
      </c>
    </row>
    <row r="16" spans="1:8" ht="24.75" customHeight="1">
      <c r="A16" s="8" t="s">
        <v>53</v>
      </c>
      <c r="B16" s="8" t="s">
        <v>57</v>
      </c>
      <c r="C16" s="11">
        <v>0.2</v>
      </c>
      <c r="D16" s="12" t="s">
        <v>55</v>
      </c>
      <c r="E16" s="8" t="s">
        <v>41</v>
      </c>
      <c r="F16" s="8" t="s">
        <v>58</v>
      </c>
    </row>
    <row r="17" spans="1:6" ht="24.75" customHeight="1">
      <c r="A17" s="8" t="s">
        <v>53</v>
      </c>
      <c r="B17" s="8" t="s">
        <v>59</v>
      </c>
      <c r="C17" s="9">
        <v>4500</v>
      </c>
      <c r="D17" s="8" t="s">
        <v>60</v>
      </c>
      <c r="E17" s="8" t="s">
        <v>41</v>
      </c>
      <c r="F17" s="8" t="s">
        <v>61</v>
      </c>
    </row>
    <row r="18" spans="1:6" ht="24.75" customHeight="1">
      <c r="A18" s="8" t="s">
        <v>62</v>
      </c>
      <c r="B18" s="8" t="s">
        <v>63</v>
      </c>
      <c r="C18" s="10">
        <v>24</v>
      </c>
      <c r="D18" s="8" t="s">
        <v>64</v>
      </c>
      <c r="E18" s="8" t="s">
        <v>65</v>
      </c>
      <c r="F18" s="8" t="s">
        <v>66</v>
      </c>
    </row>
    <row r="19" spans="1:6" ht="24.75" customHeight="1">
      <c r="A19" s="8" t="s">
        <v>67</v>
      </c>
      <c r="B19" s="8" t="s">
        <v>68</v>
      </c>
      <c r="C19" s="11">
        <v>0.9</v>
      </c>
      <c r="D19" s="12" t="s">
        <v>55</v>
      </c>
      <c r="E19" s="8" t="s">
        <v>69</v>
      </c>
      <c r="F19" s="8" t="s">
        <v>70</v>
      </c>
    </row>
    <row r="20" spans="1:6" ht="24.75" customHeight="1">
      <c r="A20" s="8" t="s">
        <v>67</v>
      </c>
      <c r="B20" s="8" t="s">
        <v>71</v>
      </c>
      <c r="C20" s="11">
        <v>0.6</v>
      </c>
      <c r="D20" s="12" t="s">
        <v>55</v>
      </c>
      <c r="E20" s="8" t="s">
        <v>69</v>
      </c>
      <c r="F20" s="8" t="s">
        <v>70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38" customWidth="1"/>
    <col min="2" max="2" width="18" customWidth="1"/>
    <col min="3" max="4" width="16" customWidth="1"/>
    <col min="5" max="5" width="14" customWidth="1"/>
    <col min="6" max="6" width="18" customWidth="1"/>
    <col min="7" max="7" width="40" customWidth="1"/>
  </cols>
  <sheetData>
    <row r="1" spans="1:8" ht="33.75" customHeight="1">
      <c r="A1" s="4" t="s">
        <v>72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73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22</v>
      </c>
      <c r="G4" s="7" t="s">
        <v>79</v>
      </c>
    </row>
    <row r="5" spans="1:8" ht="27.75" customHeight="1">
      <c r="A5" s="8" t="s">
        <v>80</v>
      </c>
      <c r="B5" s="13">
        <v>11925</v>
      </c>
      <c r="C5" s="9"/>
      <c r="D5" s="13" t="str">
        <f>IF(C5="","",C5-B5)</f>
        <v/>
      </c>
      <c r="E5" s="14" t="str">
        <f>IF(C5="","",IF(B5=0,"",D5/B5))</f>
        <v/>
      </c>
      <c r="F5" s="12" t="str">
        <f>IF(C5="","أدخل الفعلي",IF(D5&gt;0,"تجاوز",IF(D5&lt;0,"أقل من الميزانية","مطابق")))</f>
        <v>أدخل الفعلي</v>
      </c>
      <c r="G5" s="12" t="s">
        <v>81</v>
      </c>
    </row>
    <row r="6" spans="1:8" ht="27.75" customHeight="1">
      <c r="A6" s="8" t="s">
        <v>82</v>
      </c>
      <c r="B6" s="13">
        <v>6625</v>
      </c>
      <c r="C6" s="9"/>
      <c r="D6" s="13" t="str">
        <f>IF(C6="","",C6-B6)</f>
        <v/>
      </c>
      <c r="E6" s="14" t="str">
        <f>IF(C6="","",IF(B6=0,"",D6/B6))</f>
        <v/>
      </c>
      <c r="F6" s="12" t="str">
        <f>IF(C6="","أدخل الفعلي",IF(D6&gt;0,"تجاوز",IF(D6&lt;0,"أقل من الميزانية","مطابق")))</f>
        <v>أدخل الفعلي</v>
      </c>
      <c r="G6" s="8" t="s">
        <v>83</v>
      </c>
    </row>
    <row r="7" spans="1:8" ht="27.75" customHeight="1">
      <c r="A7" s="8" t="s">
        <v>84</v>
      </c>
      <c r="B7" s="13">
        <v>5300</v>
      </c>
      <c r="C7" s="9"/>
      <c r="D7" s="13" t="str">
        <f>IF(C7="","",C7-B7)</f>
        <v/>
      </c>
      <c r="E7" s="14" t="str">
        <f>IF(C7="","",IF(B7=0,"",D7/B7))</f>
        <v/>
      </c>
      <c r="F7" s="12" t="str">
        <f>IF(C7="","أدخل الفعلي",IF(D7&gt;0,"تجاوز",IF(D7&lt;0,"أقل من الميزانية","مطابق")))</f>
        <v>أدخل الفعلي</v>
      </c>
      <c r="G7" s="8" t="s">
        <v>85</v>
      </c>
    </row>
    <row r="8" spans="1:8" ht="27.75" customHeight="1">
      <c r="A8" s="8" t="s">
        <v>86</v>
      </c>
      <c r="B8" s="13">
        <v>2650</v>
      </c>
      <c r="C8" s="9"/>
      <c r="D8" s="13" t="str">
        <f>IF(C8="","",C8-B8)</f>
        <v/>
      </c>
      <c r="E8" s="14" t="str">
        <f>IF(C8="","",IF(B8=0,"",D8/B8))</f>
        <v/>
      </c>
      <c r="F8" s="12" t="str">
        <f>IF(C8="","أدخل الفعلي",IF(D8&gt;0,"تجاوز",IF(D8&lt;0,"أقل من الميزانية","مطابق")))</f>
        <v>أدخل الفعلي</v>
      </c>
      <c r="G8" s="8" t="s">
        <v>87</v>
      </c>
    </row>
    <row r="9" spans="1:8">
      <c r="A9" s="12"/>
      <c r="B9" s="12"/>
      <c r="C9" s="12"/>
      <c r="D9" s="12"/>
      <c r="E9" s="12"/>
      <c r="F9" s="12"/>
      <c r="G9" s="12"/>
    </row>
    <row r="10" spans="1:8">
      <c r="A10" s="15" t="s">
        <v>88</v>
      </c>
      <c r="B10" s="16">
        <f>SUM(B5:B8)</f>
        <v>26500</v>
      </c>
      <c r="C10" s="16" t="str">
        <f>IF(COUNTA(C5:C8)=0,"",SUM(C5:C8))</f>
        <v/>
      </c>
      <c r="D10" s="16" t="str">
        <f>IF(C10="","",C10-B10)</f>
        <v/>
      </c>
      <c r="E10" s="17" t="str">
        <f>IF(C10="","",D10/B10)</f>
        <v/>
      </c>
      <c r="F10" s="15" t="str">
        <f>IF(C10="","أدخل الفعلي",IF(D10&gt;0,"تجاوز",IF(D10&lt;0,"أقل من الميزانية","مطابق")))</f>
        <v>أدخل الفعلي</v>
      </c>
      <c r="G10" s="12"/>
    </row>
  </sheetData>
  <mergeCells count="2">
    <mergeCell ref="A1:H1"/>
    <mergeCell ref="A2:H2"/>
  </mergeCells>
  <conditionalFormatting sqref="D5:D8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12" customWidth="1"/>
    <col min="2" max="2" width="18" customWidth="1"/>
    <col min="3" max="4" width="24" customWidth="1"/>
    <col min="5" max="5" width="20" customWidth="1"/>
    <col min="6" max="6" width="42" customWidth="1"/>
  </cols>
  <sheetData>
    <row r="1" spans="1:8" ht="33.75" customHeight="1">
      <c r="A1" s="4" t="s">
        <v>89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90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91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</row>
    <row r="5" spans="1:8" ht="24" customHeight="1">
      <c r="A5" s="12">
        <v>1</v>
      </c>
      <c r="B5" s="18"/>
      <c r="C5" s="18"/>
      <c r="D5" s="18"/>
      <c r="E5" s="18"/>
      <c r="F5" s="8" t="s">
        <v>97</v>
      </c>
    </row>
    <row r="6" spans="1:8" ht="24" customHeight="1">
      <c r="A6" s="12">
        <v>2</v>
      </c>
      <c r="B6" s="18"/>
      <c r="C6" s="18"/>
      <c r="D6" s="18"/>
      <c r="E6" s="18"/>
      <c r="F6" s="8" t="s">
        <v>97</v>
      </c>
    </row>
    <row r="7" spans="1:8" ht="24" customHeight="1">
      <c r="A7" s="12">
        <v>3</v>
      </c>
      <c r="B7" s="18"/>
      <c r="C7" s="18"/>
      <c r="D7" s="18"/>
      <c r="E7" s="18"/>
      <c r="F7" s="8" t="s">
        <v>97</v>
      </c>
    </row>
    <row r="8" spans="1:8" ht="24" customHeight="1">
      <c r="A8" s="12">
        <v>4</v>
      </c>
      <c r="B8" s="18"/>
      <c r="C8" s="18"/>
      <c r="D8" s="18"/>
      <c r="E8" s="18"/>
      <c r="F8" s="8" t="s">
        <v>97</v>
      </c>
    </row>
    <row r="9" spans="1:8" ht="24" customHeight="1">
      <c r="A9" s="12">
        <v>5</v>
      </c>
      <c r="B9" s="18"/>
      <c r="C9" s="18"/>
      <c r="D9" s="18"/>
      <c r="E9" s="18"/>
      <c r="F9" s="8" t="s">
        <v>97</v>
      </c>
    </row>
    <row r="10" spans="1:8" ht="24" customHeight="1">
      <c r="A10" s="12">
        <v>6</v>
      </c>
      <c r="B10" s="18"/>
      <c r="C10" s="18"/>
      <c r="D10" s="18"/>
      <c r="E10" s="18"/>
      <c r="F10" s="8" t="s">
        <v>97</v>
      </c>
    </row>
    <row r="11" spans="1:8" ht="24" customHeight="1">
      <c r="A11" s="12">
        <v>7</v>
      </c>
      <c r="B11" s="18"/>
      <c r="C11" s="18"/>
      <c r="D11" s="18"/>
      <c r="E11" s="18"/>
      <c r="F11" s="8" t="s">
        <v>97</v>
      </c>
    </row>
    <row r="12" spans="1:8" ht="24" customHeight="1">
      <c r="A12" s="12">
        <v>8</v>
      </c>
      <c r="B12" s="18"/>
      <c r="C12" s="18"/>
      <c r="D12" s="18"/>
      <c r="E12" s="18"/>
      <c r="F12" s="8" t="s">
        <v>97</v>
      </c>
    </row>
    <row r="13" spans="1:8" ht="24" customHeight="1">
      <c r="A13" s="12">
        <v>9</v>
      </c>
      <c r="B13" s="18"/>
      <c r="C13" s="18"/>
      <c r="D13" s="18"/>
      <c r="E13" s="18"/>
      <c r="F13" s="8" t="s">
        <v>97</v>
      </c>
    </row>
    <row r="14" spans="1:8" ht="24" customHeight="1">
      <c r="A14" s="12">
        <v>10</v>
      </c>
      <c r="B14" s="18"/>
      <c r="C14" s="18"/>
      <c r="D14" s="18"/>
      <c r="E14" s="18"/>
      <c r="F14" s="8" t="s">
        <v>97</v>
      </c>
    </row>
    <row r="15" spans="1:8" ht="24" customHeight="1">
      <c r="A15" s="12">
        <v>11</v>
      </c>
      <c r="B15" s="18"/>
      <c r="C15" s="18"/>
      <c r="D15" s="18"/>
      <c r="E15" s="18"/>
      <c r="F15" s="8" t="s">
        <v>97</v>
      </c>
    </row>
    <row r="16" spans="1:8" ht="24" customHeight="1">
      <c r="A16" s="12">
        <v>12</v>
      </c>
      <c r="B16" s="18"/>
      <c r="C16" s="18"/>
      <c r="D16" s="18"/>
      <c r="E16" s="18"/>
      <c r="F16" s="8" t="s">
        <v>97</v>
      </c>
    </row>
    <row r="17" spans="1:6" ht="24" customHeight="1">
      <c r="A17" s="12">
        <v>13</v>
      </c>
      <c r="B17" s="18"/>
      <c r="C17" s="18"/>
      <c r="D17" s="18"/>
      <c r="E17" s="18"/>
      <c r="F17" s="8" t="s">
        <v>97</v>
      </c>
    </row>
    <row r="18" spans="1:6" ht="24" customHeight="1">
      <c r="A18" s="12">
        <v>14</v>
      </c>
      <c r="B18" s="18"/>
      <c r="C18" s="18"/>
      <c r="D18" s="18"/>
      <c r="E18" s="18"/>
      <c r="F18" s="8" t="s">
        <v>97</v>
      </c>
    </row>
    <row r="19" spans="1:6" ht="24" customHeight="1">
      <c r="A19" s="12">
        <v>15</v>
      </c>
      <c r="B19" s="18"/>
      <c r="C19" s="18"/>
      <c r="D19" s="18"/>
      <c r="E19" s="18"/>
      <c r="F19" s="8" t="s">
        <v>97</v>
      </c>
    </row>
    <row r="20" spans="1:6" ht="24" customHeight="1">
      <c r="A20" s="12">
        <v>16</v>
      </c>
      <c r="B20" s="18"/>
      <c r="C20" s="18"/>
      <c r="D20" s="18"/>
      <c r="E20" s="18"/>
      <c r="F20" s="8" t="s">
        <v>97</v>
      </c>
    </row>
    <row r="21" spans="1:6" ht="24" customHeight="1">
      <c r="A21" s="12">
        <v>17</v>
      </c>
      <c r="B21" s="18"/>
      <c r="C21" s="18"/>
      <c r="D21" s="18"/>
      <c r="E21" s="18"/>
      <c r="F21" s="8" t="s">
        <v>97</v>
      </c>
    </row>
    <row r="22" spans="1:6" ht="24" customHeight="1">
      <c r="A22" s="12">
        <v>18</v>
      </c>
      <c r="B22" s="18"/>
      <c r="C22" s="18"/>
      <c r="D22" s="18"/>
      <c r="E22" s="18"/>
      <c r="F22" s="8" t="s">
        <v>97</v>
      </c>
    </row>
    <row r="23" spans="1:6" ht="24" customHeight="1">
      <c r="A23" s="12">
        <v>19</v>
      </c>
      <c r="B23" s="18"/>
      <c r="C23" s="18"/>
      <c r="D23" s="18"/>
      <c r="E23" s="18"/>
      <c r="F23" s="8" t="s">
        <v>97</v>
      </c>
    </row>
    <row r="24" spans="1:6" ht="24" customHeight="1">
      <c r="A24" s="12">
        <v>20</v>
      </c>
      <c r="B24" s="18"/>
      <c r="C24" s="18"/>
      <c r="D24" s="18"/>
      <c r="E24" s="18"/>
      <c r="F24" s="8" t="s">
        <v>97</v>
      </c>
    </row>
    <row r="25" spans="1:6" ht="24" customHeight="1">
      <c r="A25" s="12">
        <v>21</v>
      </c>
      <c r="B25" s="18"/>
      <c r="C25" s="18"/>
      <c r="D25" s="18"/>
      <c r="E25" s="18"/>
      <c r="F25" s="8" t="s">
        <v>97</v>
      </c>
    </row>
    <row r="26" spans="1:6" ht="24" customHeight="1">
      <c r="A26" s="12">
        <v>22</v>
      </c>
      <c r="B26" s="18"/>
      <c r="C26" s="18"/>
      <c r="D26" s="18"/>
      <c r="E26" s="18"/>
      <c r="F26" s="8" t="s">
        <v>97</v>
      </c>
    </row>
    <row r="27" spans="1:6" ht="24" customHeight="1">
      <c r="A27" s="12">
        <v>23</v>
      </c>
      <c r="B27" s="18"/>
      <c r="C27" s="18"/>
      <c r="D27" s="18"/>
      <c r="E27" s="18"/>
      <c r="F27" s="8" t="s">
        <v>97</v>
      </c>
    </row>
    <row r="28" spans="1:6" ht="24" customHeight="1">
      <c r="A28" s="12">
        <v>24</v>
      </c>
      <c r="B28" s="18"/>
      <c r="C28" s="18"/>
      <c r="D28" s="18"/>
      <c r="E28" s="18"/>
      <c r="F28" s="8" t="s">
        <v>97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9" customWidth="1"/>
    <col min="3" max="20" width="16" customWidth="1"/>
    <col min="21" max="21" width="13" hidden="1" customWidth="1"/>
  </cols>
  <sheetData>
    <row r="1" spans="1:21" ht="33.75" customHeight="1">
      <c r="A1" s="4" t="s">
        <v>98</v>
      </c>
      <c r="B1" s="4"/>
      <c r="C1" s="4"/>
      <c r="D1" s="4"/>
      <c r="E1" s="4"/>
      <c r="F1" s="4"/>
      <c r="G1" s="4"/>
      <c r="H1" s="4"/>
    </row>
    <row r="2" spans="1:21" ht="21.75" customHeight="1">
      <c r="A2" s="2" t="s">
        <v>99</v>
      </c>
      <c r="B2" s="2"/>
      <c r="C2" s="2"/>
      <c r="D2" s="2"/>
      <c r="E2" s="2"/>
      <c r="F2" s="2"/>
      <c r="G2" s="2"/>
      <c r="H2" s="2"/>
    </row>
    <row r="4" spans="1:21" ht="31.5" customHeight="1">
      <c r="A4" s="7" t="s">
        <v>91</v>
      </c>
      <c r="B4" s="7" t="s">
        <v>100</v>
      </c>
      <c r="C4" s="7" t="s">
        <v>101</v>
      </c>
      <c r="D4" s="7" t="s">
        <v>102</v>
      </c>
      <c r="E4" s="7" t="s">
        <v>103</v>
      </c>
      <c r="F4" s="7" t="s">
        <v>104</v>
      </c>
      <c r="G4" s="7" t="s">
        <v>105</v>
      </c>
      <c r="H4" s="7" t="s">
        <v>106</v>
      </c>
      <c r="I4" s="7" t="s">
        <v>107</v>
      </c>
      <c r="J4" s="7" t="s">
        <v>108</v>
      </c>
      <c r="K4" s="7" t="s">
        <v>109</v>
      </c>
      <c r="L4" s="7" t="s">
        <v>110</v>
      </c>
      <c r="M4" s="7" t="s">
        <v>111</v>
      </c>
      <c r="N4" s="7" t="s">
        <v>112</v>
      </c>
      <c r="O4" s="7" t="s">
        <v>113</v>
      </c>
      <c r="P4" s="7" t="s">
        <v>92</v>
      </c>
      <c r="Q4" s="7" t="s">
        <v>114</v>
      </c>
      <c r="R4" s="7" t="s">
        <v>115</v>
      </c>
      <c r="S4" s="7" t="s">
        <v>116</v>
      </c>
      <c r="T4" s="7" t="s">
        <v>117</v>
      </c>
      <c r="U4" s="19" t="s">
        <v>118</v>
      </c>
    </row>
    <row r="5" spans="1:21" ht="24" customHeight="1">
      <c r="A5" s="12">
        <v>1</v>
      </c>
      <c r="B5" s="12" t="str">
        <f t="shared" ref="B5:B28" si="0">"Q"&amp;ROUNDUP(A5/3,0)</f>
        <v>Q1</v>
      </c>
      <c r="C5" s="20">
        <f>Inputs!$C$9*(1-Inputs!$C$15)+Inputs!$C$12</f>
        <v>0.5</v>
      </c>
      <c r="D5" s="20">
        <f>Inputs!$C$10*(1-Inputs!$C$15)+Inputs!$C$13</f>
        <v>0.25</v>
      </c>
      <c r="E5" s="20">
        <f>Inputs!$C$11*(1-Inputs!$C$15)+Inputs!$C$14</f>
        <v>0</v>
      </c>
      <c r="F5" s="20">
        <f t="shared" ref="F5:F28" si="1">SUM(C5:E5)</f>
        <v>0.75</v>
      </c>
      <c r="G5" s="13">
        <f>C5*Inputs!$C$6/12</f>
        <v>104.16666666666667</v>
      </c>
      <c r="H5" s="13">
        <f>D5*Inputs!$C$7/12</f>
        <v>156.25</v>
      </c>
      <c r="I5" s="13">
        <f>E5*Inputs!$C$8/12</f>
        <v>0</v>
      </c>
      <c r="J5" s="13">
        <f t="shared" ref="J5:J28" si="2">SUM(G5:I5)</f>
        <v>260.41666666666669</v>
      </c>
      <c r="K5" s="13">
        <f>J5*Inputs!$C$16</f>
        <v>52.083333333333343</v>
      </c>
      <c r="L5" s="13">
        <f>Inputs!$C$17</f>
        <v>4500</v>
      </c>
      <c r="M5" s="13">
        <f t="shared" ref="M5:M28" si="3">J5-K5-L5</f>
        <v>-4291.666666666667</v>
      </c>
      <c r="N5" s="13">
        <f>-Inputs!$C$5+M5</f>
        <v>-30791.666666666668</v>
      </c>
      <c r="O5" s="14">
        <f t="shared" ref="O5:O28" si="4">IF(J5=0,"",(J5-K5)/J5)</f>
        <v>0.79999999999999993</v>
      </c>
      <c r="P5" s="13" t="str">
        <f>IF(Actuals_Monthly!B5="","",Actuals_Monthly!B5)</f>
        <v/>
      </c>
      <c r="Q5" s="13" t="str">
        <f>IF(OR(Actuals_Monthly!B5="",Actuals_Monthly!C5="",Actuals_Monthly!D5=""),"",Actuals_Monthly!B5-Actuals_Monthly!C5-Actuals_Monthly!D5)</f>
        <v/>
      </c>
      <c r="R5" s="13" t="str">
        <f t="shared" ref="R5:R28" si="5">IF(P5="","",P5-J5)</f>
        <v/>
      </c>
      <c r="S5" s="13" t="str">
        <f t="shared" ref="S5:S28" si="6">IF(Q5="","",Q5-M5)</f>
        <v/>
      </c>
      <c r="T5" s="12" t="str">
        <f t="shared" ref="T5:T28" si="7">IF(P5="","أدخل الفعلي",IF(R5&gt;=0,"فوق الخطة","دون الخطة"))</f>
        <v>أدخل الفعلي</v>
      </c>
      <c r="U5" s="19">
        <f t="shared" ref="U5:U28" si="8">IF(N5&gt;=0,1,0)</f>
        <v>0</v>
      </c>
    </row>
    <row r="6" spans="1:21" ht="24" customHeight="1">
      <c r="A6" s="12">
        <v>2</v>
      </c>
      <c r="B6" s="12" t="str">
        <f t="shared" si="0"/>
        <v>Q1</v>
      </c>
      <c r="C6" s="20">
        <f>C5*(1-Inputs!$C$15)+Inputs!$C$12</f>
        <v>1</v>
      </c>
      <c r="D6" s="20">
        <f>D5*(1-Inputs!$C$15)+Inputs!$C$13</f>
        <v>0.5</v>
      </c>
      <c r="E6" s="20">
        <f>E5*(1-Inputs!$C$15)+Inputs!$C$14</f>
        <v>0</v>
      </c>
      <c r="F6" s="20">
        <f t="shared" si="1"/>
        <v>1.5</v>
      </c>
      <c r="G6" s="13">
        <f>C6*Inputs!$C$6/12</f>
        <v>208.33333333333334</v>
      </c>
      <c r="H6" s="13">
        <f>D6*Inputs!$C$7/12</f>
        <v>312.5</v>
      </c>
      <c r="I6" s="13">
        <f>E6*Inputs!$C$8/12</f>
        <v>0</v>
      </c>
      <c r="J6" s="13">
        <f t="shared" si="2"/>
        <v>520.83333333333337</v>
      </c>
      <c r="K6" s="13">
        <f>J6*Inputs!$C$16</f>
        <v>104.16666666666669</v>
      </c>
      <c r="L6" s="13">
        <f>Inputs!$C$17</f>
        <v>4500</v>
      </c>
      <c r="M6" s="13">
        <f t="shared" si="3"/>
        <v>-4083.3333333333335</v>
      </c>
      <c r="N6" s="13">
        <f t="shared" ref="N6:N28" si="9">N5+M6</f>
        <v>-34875</v>
      </c>
      <c r="O6" s="14">
        <f t="shared" si="4"/>
        <v>0.79999999999999993</v>
      </c>
      <c r="P6" s="13" t="str">
        <f>IF(Actuals_Monthly!B6="","",Actuals_Monthly!B6)</f>
        <v/>
      </c>
      <c r="Q6" s="13" t="str">
        <f>IF(OR(Actuals_Monthly!B6="",Actuals_Monthly!C6="",Actuals_Monthly!D6=""),"",Actuals_Monthly!B6-Actuals_Monthly!C6-Actuals_Monthly!D6)</f>
        <v/>
      </c>
      <c r="R6" s="13" t="str">
        <f t="shared" si="5"/>
        <v/>
      </c>
      <c r="S6" s="13" t="str">
        <f t="shared" si="6"/>
        <v/>
      </c>
      <c r="T6" s="12" t="str">
        <f t="shared" si="7"/>
        <v>أدخل الفعلي</v>
      </c>
      <c r="U6" s="19">
        <f t="shared" si="8"/>
        <v>0</v>
      </c>
    </row>
    <row r="7" spans="1:21" ht="24" customHeight="1">
      <c r="A7" s="12">
        <v>3</v>
      </c>
      <c r="B7" s="12" t="str">
        <f t="shared" si="0"/>
        <v>Q1</v>
      </c>
      <c r="C7" s="20">
        <f>C6*(1-Inputs!$C$15)+Inputs!$C$12</f>
        <v>1.5</v>
      </c>
      <c r="D7" s="20">
        <f>D6*(1-Inputs!$C$15)+Inputs!$C$13</f>
        <v>0.75</v>
      </c>
      <c r="E7" s="20">
        <f>E6*(1-Inputs!$C$15)+Inputs!$C$14</f>
        <v>0</v>
      </c>
      <c r="F7" s="20">
        <f t="shared" si="1"/>
        <v>2.25</v>
      </c>
      <c r="G7" s="13">
        <f>C7*Inputs!$C$6/12</f>
        <v>312.5</v>
      </c>
      <c r="H7" s="13">
        <f>D7*Inputs!$C$7/12</f>
        <v>468.75</v>
      </c>
      <c r="I7" s="13">
        <f>E7*Inputs!$C$8/12</f>
        <v>0</v>
      </c>
      <c r="J7" s="13">
        <f t="shared" si="2"/>
        <v>781.25</v>
      </c>
      <c r="K7" s="13">
        <f>J7*Inputs!$C$16</f>
        <v>156.25</v>
      </c>
      <c r="L7" s="13">
        <f>Inputs!$C$17</f>
        <v>4500</v>
      </c>
      <c r="M7" s="13">
        <f t="shared" si="3"/>
        <v>-3875</v>
      </c>
      <c r="N7" s="13">
        <f t="shared" si="9"/>
        <v>-38750</v>
      </c>
      <c r="O7" s="14">
        <f t="shared" si="4"/>
        <v>0.8</v>
      </c>
      <c r="P7" s="13" t="str">
        <f>IF(Actuals_Monthly!B7="","",Actuals_Monthly!B7)</f>
        <v/>
      </c>
      <c r="Q7" s="13" t="str">
        <f>IF(OR(Actuals_Monthly!B7="",Actuals_Monthly!C7="",Actuals_Monthly!D7=""),"",Actuals_Monthly!B7-Actuals_Monthly!C7-Actuals_Monthly!D7)</f>
        <v/>
      </c>
      <c r="R7" s="13" t="str">
        <f t="shared" si="5"/>
        <v/>
      </c>
      <c r="S7" s="13" t="str">
        <f t="shared" si="6"/>
        <v/>
      </c>
      <c r="T7" s="12" t="str">
        <f t="shared" si="7"/>
        <v>أدخل الفعلي</v>
      </c>
      <c r="U7" s="19">
        <f t="shared" si="8"/>
        <v>0</v>
      </c>
    </row>
    <row r="8" spans="1:21" ht="24" customHeight="1">
      <c r="A8" s="12">
        <v>4</v>
      </c>
      <c r="B8" s="12" t="str">
        <f t="shared" si="0"/>
        <v>Q2</v>
      </c>
      <c r="C8" s="20">
        <f>C7*(1-Inputs!$C$15)+Inputs!$C$12</f>
        <v>2</v>
      </c>
      <c r="D8" s="20">
        <f>D7*(1-Inputs!$C$15)+Inputs!$C$13</f>
        <v>1</v>
      </c>
      <c r="E8" s="20">
        <f>E7*(1-Inputs!$C$15)+Inputs!$C$14</f>
        <v>0</v>
      </c>
      <c r="F8" s="20">
        <f t="shared" si="1"/>
        <v>3</v>
      </c>
      <c r="G8" s="13">
        <f>C8*Inputs!$C$6/12</f>
        <v>416.66666666666669</v>
      </c>
      <c r="H8" s="13">
        <f>D8*Inputs!$C$7/12</f>
        <v>625</v>
      </c>
      <c r="I8" s="13">
        <f>E8*Inputs!$C$8/12</f>
        <v>0</v>
      </c>
      <c r="J8" s="13">
        <f t="shared" si="2"/>
        <v>1041.6666666666667</v>
      </c>
      <c r="K8" s="13">
        <f>J8*Inputs!$C$16</f>
        <v>208.33333333333337</v>
      </c>
      <c r="L8" s="13">
        <f>Inputs!$C$17</f>
        <v>4500</v>
      </c>
      <c r="M8" s="13">
        <f t="shared" si="3"/>
        <v>-3666.6666666666665</v>
      </c>
      <c r="N8" s="13">
        <f t="shared" si="9"/>
        <v>-42416.666666666664</v>
      </c>
      <c r="O8" s="14">
        <f t="shared" si="4"/>
        <v>0.79999999999999993</v>
      </c>
      <c r="P8" s="13" t="str">
        <f>IF(Actuals_Monthly!B8="","",Actuals_Monthly!B8)</f>
        <v/>
      </c>
      <c r="Q8" s="13" t="str">
        <f>IF(OR(Actuals_Monthly!B8="",Actuals_Monthly!C8="",Actuals_Monthly!D8=""),"",Actuals_Monthly!B8-Actuals_Monthly!C8-Actuals_Monthly!D8)</f>
        <v/>
      </c>
      <c r="R8" s="13" t="str">
        <f t="shared" si="5"/>
        <v/>
      </c>
      <c r="S8" s="13" t="str">
        <f t="shared" si="6"/>
        <v/>
      </c>
      <c r="T8" s="12" t="str">
        <f t="shared" si="7"/>
        <v>أدخل الفعلي</v>
      </c>
      <c r="U8" s="19">
        <f t="shared" si="8"/>
        <v>0</v>
      </c>
    </row>
    <row r="9" spans="1:21" ht="24" customHeight="1">
      <c r="A9" s="12">
        <v>5</v>
      </c>
      <c r="B9" s="12" t="str">
        <f t="shared" si="0"/>
        <v>Q2</v>
      </c>
      <c r="C9" s="20">
        <f>C8*(1-Inputs!$C$15)+Inputs!$C$12</f>
        <v>2.5</v>
      </c>
      <c r="D9" s="20">
        <f>D8*(1-Inputs!$C$15)+Inputs!$C$13</f>
        <v>1.25</v>
      </c>
      <c r="E9" s="20">
        <f>E8*(1-Inputs!$C$15)+Inputs!$C$14</f>
        <v>0</v>
      </c>
      <c r="F9" s="20">
        <f t="shared" si="1"/>
        <v>3.75</v>
      </c>
      <c r="G9" s="13">
        <f>C9*Inputs!$C$6/12</f>
        <v>520.83333333333337</v>
      </c>
      <c r="H9" s="13">
        <f>D9*Inputs!$C$7/12</f>
        <v>781.25</v>
      </c>
      <c r="I9" s="13">
        <f>E9*Inputs!$C$8/12</f>
        <v>0</v>
      </c>
      <c r="J9" s="13">
        <f t="shared" si="2"/>
        <v>1302.0833333333335</v>
      </c>
      <c r="K9" s="13">
        <f>J9*Inputs!$C$16</f>
        <v>260.41666666666669</v>
      </c>
      <c r="L9" s="13">
        <f>Inputs!$C$17</f>
        <v>4500</v>
      </c>
      <c r="M9" s="13">
        <f t="shared" si="3"/>
        <v>-3458.333333333333</v>
      </c>
      <c r="N9" s="13">
        <f t="shared" si="9"/>
        <v>-45875</v>
      </c>
      <c r="O9" s="14">
        <f t="shared" si="4"/>
        <v>0.79999999999999993</v>
      </c>
      <c r="P9" s="13" t="str">
        <f>IF(Actuals_Monthly!B9="","",Actuals_Monthly!B9)</f>
        <v/>
      </c>
      <c r="Q9" s="13" t="str">
        <f>IF(OR(Actuals_Monthly!B9="",Actuals_Monthly!C9="",Actuals_Monthly!D9=""),"",Actuals_Monthly!B9-Actuals_Monthly!C9-Actuals_Monthly!D9)</f>
        <v/>
      </c>
      <c r="R9" s="13" t="str">
        <f t="shared" si="5"/>
        <v/>
      </c>
      <c r="S9" s="13" t="str">
        <f t="shared" si="6"/>
        <v/>
      </c>
      <c r="T9" s="12" t="str">
        <f t="shared" si="7"/>
        <v>أدخل الفعلي</v>
      </c>
      <c r="U9" s="19">
        <f t="shared" si="8"/>
        <v>0</v>
      </c>
    </row>
    <row r="10" spans="1:21" ht="24" customHeight="1">
      <c r="A10" s="12">
        <v>6</v>
      </c>
      <c r="B10" s="12" t="str">
        <f t="shared" si="0"/>
        <v>Q2</v>
      </c>
      <c r="C10" s="20">
        <f>C9*(1-Inputs!$C$15)+Inputs!$C$12</f>
        <v>3</v>
      </c>
      <c r="D10" s="20">
        <f>D9*(1-Inputs!$C$15)+Inputs!$C$13</f>
        <v>1.5</v>
      </c>
      <c r="E10" s="20">
        <f>E9*(1-Inputs!$C$15)+Inputs!$C$14</f>
        <v>0</v>
      </c>
      <c r="F10" s="20">
        <f t="shared" si="1"/>
        <v>4.5</v>
      </c>
      <c r="G10" s="13">
        <f>C10*Inputs!$C$6/12</f>
        <v>625</v>
      </c>
      <c r="H10" s="13">
        <f>D10*Inputs!$C$7/12</f>
        <v>937.5</v>
      </c>
      <c r="I10" s="13">
        <f>E10*Inputs!$C$8/12</f>
        <v>0</v>
      </c>
      <c r="J10" s="13">
        <f t="shared" si="2"/>
        <v>1562.5</v>
      </c>
      <c r="K10" s="13">
        <f>J10*Inputs!$C$16</f>
        <v>312.5</v>
      </c>
      <c r="L10" s="13">
        <f>Inputs!$C$17</f>
        <v>4500</v>
      </c>
      <c r="M10" s="13">
        <f t="shared" si="3"/>
        <v>-3250</v>
      </c>
      <c r="N10" s="13">
        <f t="shared" si="9"/>
        <v>-49125</v>
      </c>
      <c r="O10" s="14">
        <f t="shared" si="4"/>
        <v>0.8</v>
      </c>
      <c r="P10" s="13" t="str">
        <f>IF(Actuals_Monthly!B10="","",Actuals_Monthly!B10)</f>
        <v/>
      </c>
      <c r="Q10" s="13" t="str">
        <f>IF(OR(Actuals_Monthly!B10="",Actuals_Monthly!C10="",Actuals_Monthly!D10=""),"",Actuals_Monthly!B10-Actuals_Monthly!C10-Actuals_Monthly!D10)</f>
        <v/>
      </c>
      <c r="R10" s="13" t="str">
        <f t="shared" si="5"/>
        <v/>
      </c>
      <c r="S10" s="13" t="str">
        <f t="shared" si="6"/>
        <v/>
      </c>
      <c r="T10" s="12" t="str">
        <f t="shared" si="7"/>
        <v>أدخل الفعلي</v>
      </c>
      <c r="U10" s="19">
        <f t="shared" si="8"/>
        <v>0</v>
      </c>
    </row>
    <row r="11" spans="1:21" ht="24" customHeight="1">
      <c r="A11" s="12">
        <v>7</v>
      </c>
      <c r="B11" s="12" t="str">
        <f t="shared" si="0"/>
        <v>Q3</v>
      </c>
      <c r="C11" s="20">
        <f>C10*(1-Inputs!$C$15)+Inputs!$C$12</f>
        <v>3.5</v>
      </c>
      <c r="D11" s="20">
        <f>D10*(1-Inputs!$C$15)+Inputs!$C$13</f>
        <v>1.75</v>
      </c>
      <c r="E11" s="20">
        <f>E10*(1-Inputs!$C$15)+Inputs!$C$14</f>
        <v>0</v>
      </c>
      <c r="F11" s="20">
        <f t="shared" si="1"/>
        <v>5.25</v>
      </c>
      <c r="G11" s="13">
        <f>C11*Inputs!$C$6/12</f>
        <v>729.16666666666663</v>
      </c>
      <c r="H11" s="13">
        <f>D11*Inputs!$C$7/12</f>
        <v>1093.75</v>
      </c>
      <c r="I11" s="13">
        <f>E11*Inputs!$C$8/12</f>
        <v>0</v>
      </c>
      <c r="J11" s="13">
        <f t="shared" si="2"/>
        <v>1822.9166666666665</v>
      </c>
      <c r="K11" s="13">
        <f>J11*Inputs!$C$16</f>
        <v>364.58333333333331</v>
      </c>
      <c r="L11" s="13">
        <f>Inputs!$C$17</f>
        <v>4500</v>
      </c>
      <c r="M11" s="13">
        <f t="shared" si="3"/>
        <v>-3041.666666666667</v>
      </c>
      <c r="N11" s="13">
        <f t="shared" si="9"/>
        <v>-52166.666666666664</v>
      </c>
      <c r="O11" s="14">
        <f t="shared" si="4"/>
        <v>0.8</v>
      </c>
      <c r="P11" s="13" t="str">
        <f>IF(Actuals_Monthly!B11="","",Actuals_Monthly!B11)</f>
        <v/>
      </c>
      <c r="Q11" s="13" t="str">
        <f>IF(OR(Actuals_Monthly!B11="",Actuals_Monthly!C11="",Actuals_Monthly!D11=""),"",Actuals_Monthly!B11-Actuals_Monthly!C11-Actuals_Monthly!D11)</f>
        <v/>
      </c>
      <c r="R11" s="13" t="str">
        <f t="shared" si="5"/>
        <v/>
      </c>
      <c r="S11" s="13" t="str">
        <f t="shared" si="6"/>
        <v/>
      </c>
      <c r="T11" s="12" t="str">
        <f t="shared" si="7"/>
        <v>أدخل الفعلي</v>
      </c>
      <c r="U11" s="19">
        <f t="shared" si="8"/>
        <v>0</v>
      </c>
    </row>
    <row r="12" spans="1:21" ht="24" customHeight="1">
      <c r="A12" s="12">
        <v>8</v>
      </c>
      <c r="B12" s="12" t="str">
        <f t="shared" si="0"/>
        <v>Q3</v>
      </c>
      <c r="C12" s="20">
        <f>C11*(1-Inputs!$C$15)+Inputs!$C$12</f>
        <v>4</v>
      </c>
      <c r="D12" s="20">
        <f>D11*(1-Inputs!$C$15)+Inputs!$C$13</f>
        <v>2</v>
      </c>
      <c r="E12" s="20">
        <f>E11*(1-Inputs!$C$15)+Inputs!$C$14</f>
        <v>0</v>
      </c>
      <c r="F12" s="20">
        <f t="shared" si="1"/>
        <v>6</v>
      </c>
      <c r="G12" s="13">
        <f>C12*Inputs!$C$6/12</f>
        <v>833.33333333333337</v>
      </c>
      <c r="H12" s="13">
        <f>D12*Inputs!$C$7/12</f>
        <v>1250</v>
      </c>
      <c r="I12" s="13">
        <f>E12*Inputs!$C$8/12</f>
        <v>0</v>
      </c>
      <c r="J12" s="13">
        <f t="shared" si="2"/>
        <v>2083.3333333333335</v>
      </c>
      <c r="K12" s="13">
        <f>J12*Inputs!$C$16</f>
        <v>416.66666666666674</v>
      </c>
      <c r="L12" s="13">
        <f>Inputs!$C$17</f>
        <v>4500</v>
      </c>
      <c r="M12" s="13">
        <f t="shared" si="3"/>
        <v>-2833.333333333333</v>
      </c>
      <c r="N12" s="13">
        <f t="shared" si="9"/>
        <v>-55000</v>
      </c>
      <c r="O12" s="14">
        <f t="shared" si="4"/>
        <v>0.79999999999999993</v>
      </c>
      <c r="P12" s="13" t="str">
        <f>IF(Actuals_Monthly!B12="","",Actuals_Monthly!B12)</f>
        <v/>
      </c>
      <c r="Q12" s="13" t="str">
        <f>IF(OR(Actuals_Monthly!B12="",Actuals_Monthly!C12="",Actuals_Monthly!D12=""),"",Actuals_Monthly!B12-Actuals_Monthly!C12-Actuals_Monthly!D12)</f>
        <v/>
      </c>
      <c r="R12" s="13" t="str">
        <f t="shared" si="5"/>
        <v/>
      </c>
      <c r="S12" s="13" t="str">
        <f t="shared" si="6"/>
        <v/>
      </c>
      <c r="T12" s="12" t="str">
        <f t="shared" si="7"/>
        <v>أدخل الفعلي</v>
      </c>
      <c r="U12" s="19">
        <f t="shared" si="8"/>
        <v>0</v>
      </c>
    </row>
    <row r="13" spans="1:21" ht="24" customHeight="1">
      <c r="A13" s="12">
        <v>9</v>
      </c>
      <c r="B13" s="12" t="str">
        <f t="shared" si="0"/>
        <v>Q3</v>
      </c>
      <c r="C13" s="20">
        <f>C12*(1-Inputs!$C$15)+Inputs!$C$12</f>
        <v>4.5</v>
      </c>
      <c r="D13" s="20">
        <f>D12*(1-Inputs!$C$15)+Inputs!$C$13</f>
        <v>2.25</v>
      </c>
      <c r="E13" s="20">
        <f>E12*(1-Inputs!$C$15)+Inputs!$C$14</f>
        <v>0</v>
      </c>
      <c r="F13" s="20">
        <f t="shared" si="1"/>
        <v>6.75</v>
      </c>
      <c r="G13" s="13">
        <f>C13*Inputs!$C$6/12</f>
        <v>937.5</v>
      </c>
      <c r="H13" s="13">
        <f>D13*Inputs!$C$7/12</f>
        <v>1406.25</v>
      </c>
      <c r="I13" s="13">
        <f>E13*Inputs!$C$8/12</f>
        <v>0</v>
      </c>
      <c r="J13" s="13">
        <f t="shared" si="2"/>
        <v>2343.75</v>
      </c>
      <c r="K13" s="13">
        <f>J13*Inputs!$C$16</f>
        <v>468.75</v>
      </c>
      <c r="L13" s="13">
        <f>Inputs!$C$17</f>
        <v>4500</v>
      </c>
      <c r="M13" s="13">
        <f t="shared" si="3"/>
        <v>-2625</v>
      </c>
      <c r="N13" s="13">
        <f t="shared" si="9"/>
        <v>-57625</v>
      </c>
      <c r="O13" s="14">
        <f t="shared" si="4"/>
        <v>0.8</v>
      </c>
      <c r="P13" s="13" t="str">
        <f>IF(Actuals_Monthly!B13="","",Actuals_Monthly!B13)</f>
        <v/>
      </c>
      <c r="Q13" s="13" t="str">
        <f>IF(OR(Actuals_Monthly!B13="",Actuals_Monthly!C13="",Actuals_Monthly!D13=""),"",Actuals_Monthly!B13-Actuals_Monthly!C13-Actuals_Monthly!D13)</f>
        <v/>
      </c>
      <c r="R13" s="13" t="str">
        <f t="shared" si="5"/>
        <v/>
      </c>
      <c r="S13" s="13" t="str">
        <f t="shared" si="6"/>
        <v/>
      </c>
      <c r="T13" s="12" t="str">
        <f t="shared" si="7"/>
        <v>أدخل الفعلي</v>
      </c>
      <c r="U13" s="19">
        <f t="shared" si="8"/>
        <v>0</v>
      </c>
    </row>
    <row r="14" spans="1:21" ht="24" customHeight="1">
      <c r="A14" s="12">
        <v>10</v>
      </c>
      <c r="B14" s="12" t="str">
        <f t="shared" si="0"/>
        <v>Q4</v>
      </c>
      <c r="C14" s="20">
        <f>C13*(1-Inputs!$C$15)+Inputs!$C$12</f>
        <v>5</v>
      </c>
      <c r="D14" s="20">
        <f>D13*(1-Inputs!$C$15)+Inputs!$C$13</f>
        <v>2.5</v>
      </c>
      <c r="E14" s="20">
        <f>E13*(1-Inputs!$C$15)+Inputs!$C$14</f>
        <v>0</v>
      </c>
      <c r="F14" s="20">
        <f t="shared" si="1"/>
        <v>7.5</v>
      </c>
      <c r="G14" s="13">
        <f>C14*Inputs!$C$6/12</f>
        <v>1041.6666666666667</v>
      </c>
      <c r="H14" s="13">
        <f>D14*Inputs!$C$7/12</f>
        <v>1562.5</v>
      </c>
      <c r="I14" s="13">
        <f>E14*Inputs!$C$8/12</f>
        <v>0</v>
      </c>
      <c r="J14" s="13">
        <f t="shared" si="2"/>
        <v>2604.166666666667</v>
      </c>
      <c r="K14" s="13">
        <f>J14*Inputs!$C$16</f>
        <v>520.83333333333337</v>
      </c>
      <c r="L14" s="13">
        <f>Inputs!$C$17</f>
        <v>4500</v>
      </c>
      <c r="M14" s="13">
        <f t="shared" si="3"/>
        <v>-2416.6666666666665</v>
      </c>
      <c r="N14" s="13">
        <f t="shared" si="9"/>
        <v>-60041.666666666664</v>
      </c>
      <c r="O14" s="14">
        <f t="shared" si="4"/>
        <v>0.79999999999999993</v>
      </c>
      <c r="P14" s="13" t="str">
        <f>IF(Actuals_Monthly!B14="","",Actuals_Monthly!B14)</f>
        <v/>
      </c>
      <c r="Q14" s="13" t="str">
        <f>IF(OR(Actuals_Monthly!B14="",Actuals_Monthly!C14="",Actuals_Monthly!D14=""),"",Actuals_Monthly!B14-Actuals_Monthly!C14-Actuals_Monthly!D14)</f>
        <v/>
      </c>
      <c r="R14" s="13" t="str">
        <f t="shared" si="5"/>
        <v/>
      </c>
      <c r="S14" s="13" t="str">
        <f t="shared" si="6"/>
        <v/>
      </c>
      <c r="T14" s="12" t="str">
        <f t="shared" si="7"/>
        <v>أدخل الفعلي</v>
      </c>
      <c r="U14" s="19">
        <f t="shared" si="8"/>
        <v>0</v>
      </c>
    </row>
    <row r="15" spans="1:21" ht="24" customHeight="1">
      <c r="A15" s="12">
        <v>11</v>
      </c>
      <c r="B15" s="12" t="str">
        <f t="shared" si="0"/>
        <v>Q4</v>
      </c>
      <c r="C15" s="20">
        <f>C14*(1-Inputs!$C$15)+Inputs!$C$12</f>
        <v>5.5</v>
      </c>
      <c r="D15" s="20">
        <f>D14*(1-Inputs!$C$15)+Inputs!$C$13</f>
        <v>2.75</v>
      </c>
      <c r="E15" s="20">
        <f>E14*(1-Inputs!$C$15)+Inputs!$C$14</f>
        <v>0</v>
      </c>
      <c r="F15" s="20">
        <f t="shared" si="1"/>
        <v>8.25</v>
      </c>
      <c r="G15" s="13">
        <f>C15*Inputs!$C$6/12</f>
        <v>1145.8333333333333</v>
      </c>
      <c r="H15" s="13">
        <f>D15*Inputs!$C$7/12</f>
        <v>1718.75</v>
      </c>
      <c r="I15" s="13">
        <f>E15*Inputs!$C$8/12</f>
        <v>0</v>
      </c>
      <c r="J15" s="13">
        <f t="shared" si="2"/>
        <v>2864.583333333333</v>
      </c>
      <c r="K15" s="13">
        <f>J15*Inputs!$C$16</f>
        <v>572.91666666666663</v>
      </c>
      <c r="L15" s="13">
        <f>Inputs!$C$17</f>
        <v>4500</v>
      </c>
      <c r="M15" s="13">
        <f t="shared" si="3"/>
        <v>-2208.3333333333335</v>
      </c>
      <c r="N15" s="13">
        <f t="shared" si="9"/>
        <v>-62250</v>
      </c>
      <c r="O15" s="14">
        <f t="shared" si="4"/>
        <v>0.8</v>
      </c>
      <c r="P15" s="13" t="str">
        <f>IF(Actuals_Monthly!B15="","",Actuals_Monthly!B15)</f>
        <v/>
      </c>
      <c r="Q15" s="13" t="str">
        <f>IF(OR(Actuals_Monthly!B15="",Actuals_Monthly!C15="",Actuals_Monthly!D15=""),"",Actuals_Monthly!B15-Actuals_Monthly!C15-Actuals_Monthly!D15)</f>
        <v/>
      </c>
      <c r="R15" s="13" t="str">
        <f t="shared" si="5"/>
        <v/>
      </c>
      <c r="S15" s="13" t="str">
        <f t="shared" si="6"/>
        <v/>
      </c>
      <c r="T15" s="12" t="str">
        <f t="shared" si="7"/>
        <v>أدخل الفعلي</v>
      </c>
      <c r="U15" s="19">
        <f t="shared" si="8"/>
        <v>0</v>
      </c>
    </row>
    <row r="16" spans="1:21" ht="24" customHeight="1">
      <c r="A16" s="12">
        <v>12</v>
      </c>
      <c r="B16" s="12" t="str">
        <f t="shared" si="0"/>
        <v>Q4</v>
      </c>
      <c r="C16" s="20">
        <f>C15*(1-Inputs!$C$15)+Inputs!$C$12</f>
        <v>6</v>
      </c>
      <c r="D16" s="20">
        <f>D15*(1-Inputs!$C$15)+Inputs!$C$13</f>
        <v>3</v>
      </c>
      <c r="E16" s="20">
        <f>E15*(1-Inputs!$C$15)+Inputs!$C$14</f>
        <v>0</v>
      </c>
      <c r="F16" s="20">
        <f t="shared" si="1"/>
        <v>9</v>
      </c>
      <c r="G16" s="13">
        <f>C16*Inputs!$C$6/12</f>
        <v>1250</v>
      </c>
      <c r="H16" s="13">
        <f>D16*Inputs!$C$7/12</f>
        <v>1875</v>
      </c>
      <c r="I16" s="13">
        <f>E16*Inputs!$C$8/12</f>
        <v>0</v>
      </c>
      <c r="J16" s="13">
        <f t="shared" si="2"/>
        <v>3125</v>
      </c>
      <c r="K16" s="13">
        <f>J16*Inputs!$C$16</f>
        <v>625</v>
      </c>
      <c r="L16" s="13">
        <f>Inputs!$C$17</f>
        <v>4500</v>
      </c>
      <c r="M16" s="13">
        <f t="shared" si="3"/>
        <v>-2000</v>
      </c>
      <c r="N16" s="13">
        <f t="shared" si="9"/>
        <v>-64250</v>
      </c>
      <c r="O16" s="14">
        <f t="shared" si="4"/>
        <v>0.8</v>
      </c>
      <c r="P16" s="13" t="str">
        <f>IF(Actuals_Monthly!B16="","",Actuals_Monthly!B16)</f>
        <v/>
      </c>
      <c r="Q16" s="13" t="str">
        <f>IF(OR(Actuals_Monthly!B16="",Actuals_Monthly!C16="",Actuals_Monthly!D16=""),"",Actuals_Monthly!B16-Actuals_Monthly!C16-Actuals_Monthly!D16)</f>
        <v/>
      </c>
      <c r="R16" s="13" t="str">
        <f t="shared" si="5"/>
        <v/>
      </c>
      <c r="S16" s="13" t="str">
        <f t="shared" si="6"/>
        <v/>
      </c>
      <c r="T16" s="12" t="str">
        <f t="shared" si="7"/>
        <v>أدخل الفعلي</v>
      </c>
      <c r="U16" s="19">
        <f t="shared" si="8"/>
        <v>0</v>
      </c>
    </row>
    <row r="17" spans="1:21" ht="24" customHeight="1">
      <c r="A17" s="12">
        <v>13</v>
      </c>
      <c r="B17" s="12" t="str">
        <f t="shared" si="0"/>
        <v>Q5</v>
      </c>
      <c r="C17" s="20">
        <f>C16*(1-Inputs!$C$15)+Inputs!$C$12</f>
        <v>6.5</v>
      </c>
      <c r="D17" s="20">
        <f>D16*(1-Inputs!$C$15)+Inputs!$C$13</f>
        <v>3.25</v>
      </c>
      <c r="E17" s="20">
        <f>E16*(1-Inputs!$C$15)+Inputs!$C$14</f>
        <v>0</v>
      </c>
      <c r="F17" s="20">
        <f t="shared" si="1"/>
        <v>9.75</v>
      </c>
      <c r="G17" s="13">
        <f>C17*Inputs!$C$6/12</f>
        <v>1354.1666666666667</v>
      </c>
      <c r="H17" s="13">
        <f>D17*Inputs!$C$7/12</f>
        <v>2031.25</v>
      </c>
      <c r="I17" s="13">
        <f>E17*Inputs!$C$8/12</f>
        <v>0</v>
      </c>
      <c r="J17" s="13">
        <f t="shared" si="2"/>
        <v>3385.416666666667</v>
      </c>
      <c r="K17" s="13">
        <f>J17*Inputs!$C$16</f>
        <v>677.08333333333348</v>
      </c>
      <c r="L17" s="13">
        <f>Inputs!$C$17</f>
        <v>4500</v>
      </c>
      <c r="M17" s="13">
        <f t="shared" si="3"/>
        <v>-1791.6666666666665</v>
      </c>
      <c r="N17" s="13">
        <f t="shared" si="9"/>
        <v>-66041.666666666672</v>
      </c>
      <c r="O17" s="14">
        <f t="shared" si="4"/>
        <v>0.79999999999999993</v>
      </c>
      <c r="P17" s="13" t="str">
        <f>IF(Actuals_Monthly!B17="","",Actuals_Monthly!B17)</f>
        <v/>
      </c>
      <c r="Q17" s="13" t="str">
        <f>IF(OR(Actuals_Monthly!B17="",Actuals_Monthly!C17="",Actuals_Monthly!D17=""),"",Actuals_Monthly!B17-Actuals_Monthly!C17-Actuals_Monthly!D17)</f>
        <v/>
      </c>
      <c r="R17" s="13" t="str">
        <f t="shared" si="5"/>
        <v/>
      </c>
      <c r="S17" s="13" t="str">
        <f t="shared" si="6"/>
        <v/>
      </c>
      <c r="T17" s="12" t="str">
        <f t="shared" si="7"/>
        <v>أدخل الفعلي</v>
      </c>
      <c r="U17" s="19">
        <f t="shared" si="8"/>
        <v>0</v>
      </c>
    </row>
    <row r="18" spans="1:21" ht="24" customHeight="1">
      <c r="A18" s="12">
        <v>14</v>
      </c>
      <c r="B18" s="12" t="str">
        <f t="shared" si="0"/>
        <v>Q5</v>
      </c>
      <c r="C18" s="20">
        <f>C17*(1-Inputs!$C$15)+Inputs!$C$12</f>
        <v>7</v>
      </c>
      <c r="D18" s="20">
        <f>D17*(1-Inputs!$C$15)+Inputs!$C$13</f>
        <v>3.5</v>
      </c>
      <c r="E18" s="20">
        <f>E17*(1-Inputs!$C$15)+Inputs!$C$14</f>
        <v>0</v>
      </c>
      <c r="F18" s="20">
        <f t="shared" si="1"/>
        <v>10.5</v>
      </c>
      <c r="G18" s="13">
        <f>C18*Inputs!$C$6/12</f>
        <v>1458.3333333333333</v>
      </c>
      <c r="H18" s="13">
        <f>D18*Inputs!$C$7/12</f>
        <v>2187.5</v>
      </c>
      <c r="I18" s="13">
        <f>E18*Inputs!$C$8/12</f>
        <v>0</v>
      </c>
      <c r="J18" s="13">
        <f t="shared" si="2"/>
        <v>3645.833333333333</v>
      </c>
      <c r="K18" s="13">
        <f>J18*Inputs!$C$16</f>
        <v>729.16666666666663</v>
      </c>
      <c r="L18" s="13">
        <f>Inputs!$C$17</f>
        <v>4500</v>
      </c>
      <c r="M18" s="13">
        <f t="shared" si="3"/>
        <v>-1583.3333333333335</v>
      </c>
      <c r="N18" s="13">
        <f t="shared" si="9"/>
        <v>-67625</v>
      </c>
      <c r="O18" s="14">
        <f t="shared" si="4"/>
        <v>0.8</v>
      </c>
      <c r="P18" s="13" t="str">
        <f>IF(Actuals_Monthly!B18="","",Actuals_Monthly!B18)</f>
        <v/>
      </c>
      <c r="Q18" s="13" t="str">
        <f>IF(OR(Actuals_Monthly!B18="",Actuals_Monthly!C18="",Actuals_Monthly!D18=""),"",Actuals_Monthly!B18-Actuals_Monthly!C18-Actuals_Monthly!D18)</f>
        <v/>
      </c>
      <c r="R18" s="13" t="str">
        <f t="shared" si="5"/>
        <v/>
      </c>
      <c r="S18" s="13" t="str">
        <f t="shared" si="6"/>
        <v/>
      </c>
      <c r="T18" s="12" t="str">
        <f t="shared" si="7"/>
        <v>أدخل الفعلي</v>
      </c>
      <c r="U18" s="19">
        <f t="shared" si="8"/>
        <v>0</v>
      </c>
    </row>
    <row r="19" spans="1:21" ht="24" customHeight="1">
      <c r="A19" s="12">
        <v>15</v>
      </c>
      <c r="B19" s="12" t="str">
        <f t="shared" si="0"/>
        <v>Q5</v>
      </c>
      <c r="C19" s="20">
        <f>C18*(1-Inputs!$C$15)+Inputs!$C$12</f>
        <v>7.5</v>
      </c>
      <c r="D19" s="20">
        <f>D18*(1-Inputs!$C$15)+Inputs!$C$13</f>
        <v>3.75</v>
      </c>
      <c r="E19" s="20">
        <f>E18*(1-Inputs!$C$15)+Inputs!$C$14</f>
        <v>0</v>
      </c>
      <c r="F19" s="20">
        <f t="shared" si="1"/>
        <v>11.25</v>
      </c>
      <c r="G19" s="13">
        <f>C19*Inputs!$C$6/12</f>
        <v>1562.5</v>
      </c>
      <c r="H19" s="13">
        <f>D19*Inputs!$C$7/12</f>
        <v>2343.75</v>
      </c>
      <c r="I19" s="13">
        <f>E19*Inputs!$C$8/12</f>
        <v>0</v>
      </c>
      <c r="J19" s="13">
        <f t="shared" si="2"/>
        <v>3906.25</v>
      </c>
      <c r="K19" s="13">
        <f>J19*Inputs!$C$16</f>
        <v>781.25</v>
      </c>
      <c r="L19" s="13">
        <f>Inputs!$C$17</f>
        <v>4500</v>
      </c>
      <c r="M19" s="13">
        <f t="shared" si="3"/>
        <v>-1375</v>
      </c>
      <c r="N19" s="13">
        <f t="shared" si="9"/>
        <v>-69000</v>
      </c>
      <c r="O19" s="14">
        <f t="shared" si="4"/>
        <v>0.8</v>
      </c>
      <c r="P19" s="13" t="str">
        <f>IF(Actuals_Monthly!B19="","",Actuals_Monthly!B19)</f>
        <v/>
      </c>
      <c r="Q19" s="13" t="str">
        <f>IF(OR(Actuals_Monthly!B19="",Actuals_Monthly!C19="",Actuals_Monthly!D19=""),"",Actuals_Monthly!B19-Actuals_Monthly!C19-Actuals_Monthly!D19)</f>
        <v/>
      </c>
      <c r="R19" s="13" t="str">
        <f t="shared" si="5"/>
        <v/>
      </c>
      <c r="S19" s="13" t="str">
        <f t="shared" si="6"/>
        <v/>
      </c>
      <c r="T19" s="12" t="str">
        <f t="shared" si="7"/>
        <v>أدخل الفعلي</v>
      </c>
      <c r="U19" s="19">
        <f t="shared" si="8"/>
        <v>0</v>
      </c>
    </row>
    <row r="20" spans="1:21" ht="24" customHeight="1">
      <c r="A20" s="12">
        <v>16</v>
      </c>
      <c r="B20" s="12" t="str">
        <f t="shared" si="0"/>
        <v>Q6</v>
      </c>
      <c r="C20" s="20">
        <f>C19*(1-Inputs!$C$15)+Inputs!$C$12</f>
        <v>8</v>
      </c>
      <c r="D20" s="20">
        <f>D19*(1-Inputs!$C$15)+Inputs!$C$13</f>
        <v>4</v>
      </c>
      <c r="E20" s="20">
        <f>E19*(1-Inputs!$C$15)+Inputs!$C$14</f>
        <v>0</v>
      </c>
      <c r="F20" s="20">
        <f t="shared" si="1"/>
        <v>12</v>
      </c>
      <c r="G20" s="13">
        <f>C20*Inputs!$C$6/12</f>
        <v>1666.6666666666667</v>
      </c>
      <c r="H20" s="13">
        <f>D20*Inputs!$C$7/12</f>
        <v>2500</v>
      </c>
      <c r="I20" s="13">
        <f>E20*Inputs!$C$8/12</f>
        <v>0</v>
      </c>
      <c r="J20" s="13">
        <f t="shared" si="2"/>
        <v>4166.666666666667</v>
      </c>
      <c r="K20" s="13">
        <f>J20*Inputs!$C$16</f>
        <v>833.33333333333348</v>
      </c>
      <c r="L20" s="13">
        <f>Inputs!$C$17</f>
        <v>4500</v>
      </c>
      <c r="M20" s="13">
        <f t="shared" si="3"/>
        <v>-1166.6666666666665</v>
      </c>
      <c r="N20" s="13">
        <f t="shared" si="9"/>
        <v>-70166.666666666672</v>
      </c>
      <c r="O20" s="14">
        <f t="shared" si="4"/>
        <v>0.79999999999999993</v>
      </c>
      <c r="P20" s="13" t="str">
        <f>IF(Actuals_Monthly!B20="","",Actuals_Monthly!B20)</f>
        <v/>
      </c>
      <c r="Q20" s="13" t="str">
        <f>IF(OR(Actuals_Monthly!B20="",Actuals_Monthly!C20="",Actuals_Monthly!D20=""),"",Actuals_Monthly!B20-Actuals_Monthly!C20-Actuals_Monthly!D20)</f>
        <v/>
      </c>
      <c r="R20" s="13" t="str">
        <f t="shared" si="5"/>
        <v/>
      </c>
      <c r="S20" s="13" t="str">
        <f t="shared" si="6"/>
        <v/>
      </c>
      <c r="T20" s="12" t="str">
        <f t="shared" si="7"/>
        <v>أدخل الفعلي</v>
      </c>
      <c r="U20" s="19">
        <f t="shared" si="8"/>
        <v>0</v>
      </c>
    </row>
    <row r="21" spans="1:21" ht="24" customHeight="1">
      <c r="A21" s="12">
        <v>17</v>
      </c>
      <c r="B21" s="12" t="str">
        <f t="shared" si="0"/>
        <v>Q6</v>
      </c>
      <c r="C21" s="20">
        <f>C20*(1-Inputs!$C$15)+Inputs!$C$12</f>
        <v>8.5</v>
      </c>
      <c r="D21" s="20">
        <f>D20*(1-Inputs!$C$15)+Inputs!$C$13</f>
        <v>4.25</v>
      </c>
      <c r="E21" s="20">
        <f>E20*(1-Inputs!$C$15)+Inputs!$C$14</f>
        <v>0</v>
      </c>
      <c r="F21" s="20">
        <f t="shared" si="1"/>
        <v>12.75</v>
      </c>
      <c r="G21" s="13">
        <f>C21*Inputs!$C$6/12</f>
        <v>1770.8333333333333</v>
      </c>
      <c r="H21" s="13">
        <f>D21*Inputs!$C$7/12</f>
        <v>2656.25</v>
      </c>
      <c r="I21" s="13">
        <f>E21*Inputs!$C$8/12</f>
        <v>0</v>
      </c>
      <c r="J21" s="13">
        <f t="shared" si="2"/>
        <v>4427.083333333333</v>
      </c>
      <c r="K21" s="13">
        <f>J21*Inputs!$C$16</f>
        <v>885.41666666666663</v>
      </c>
      <c r="L21" s="13">
        <f>Inputs!$C$17</f>
        <v>4500</v>
      </c>
      <c r="M21" s="13">
        <f t="shared" si="3"/>
        <v>-958.33333333333348</v>
      </c>
      <c r="N21" s="13">
        <f t="shared" si="9"/>
        <v>-71125</v>
      </c>
      <c r="O21" s="14">
        <f t="shared" si="4"/>
        <v>0.8</v>
      </c>
      <c r="P21" s="13" t="str">
        <f>IF(Actuals_Monthly!B21="","",Actuals_Monthly!B21)</f>
        <v/>
      </c>
      <c r="Q21" s="13" t="str">
        <f>IF(OR(Actuals_Monthly!B21="",Actuals_Monthly!C21="",Actuals_Monthly!D21=""),"",Actuals_Monthly!B21-Actuals_Monthly!C21-Actuals_Monthly!D21)</f>
        <v/>
      </c>
      <c r="R21" s="13" t="str">
        <f t="shared" si="5"/>
        <v/>
      </c>
      <c r="S21" s="13" t="str">
        <f t="shared" si="6"/>
        <v/>
      </c>
      <c r="T21" s="12" t="str">
        <f t="shared" si="7"/>
        <v>أدخل الفعلي</v>
      </c>
      <c r="U21" s="19">
        <f t="shared" si="8"/>
        <v>0</v>
      </c>
    </row>
    <row r="22" spans="1:21" ht="24" customHeight="1">
      <c r="A22" s="12">
        <v>18</v>
      </c>
      <c r="B22" s="12" t="str">
        <f t="shared" si="0"/>
        <v>Q6</v>
      </c>
      <c r="C22" s="20">
        <f>C21*(1-Inputs!$C$15)+Inputs!$C$12</f>
        <v>9</v>
      </c>
      <c r="D22" s="20">
        <f>D21*(1-Inputs!$C$15)+Inputs!$C$13</f>
        <v>4.5</v>
      </c>
      <c r="E22" s="20">
        <f>E21*(1-Inputs!$C$15)+Inputs!$C$14</f>
        <v>0</v>
      </c>
      <c r="F22" s="20">
        <f t="shared" si="1"/>
        <v>13.5</v>
      </c>
      <c r="G22" s="13">
        <f>C22*Inputs!$C$6/12</f>
        <v>1875</v>
      </c>
      <c r="H22" s="13">
        <f>D22*Inputs!$C$7/12</f>
        <v>2812.5</v>
      </c>
      <c r="I22" s="13">
        <f>E22*Inputs!$C$8/12</f>
        <v>0</v>
      </c>
      <c r="J22" s="13">
        <f t="shared" si="2"/>
        <v>4687.5</v>
      </c>
      <c r="K22" s="13">
        <f>J22*Inputs!$C$16</f>
        <v>937.5</v>
      </c>
      <c r="L22" s="13">
        <f>Inputs!$C$17</f>
        <v>4500</v>
      </c>
      <c r="M22" s="13">
        <f t="shared" si="3"/>
        <v>-750</v>
      </c>
      <c r="N22" s="13">
        <f t="shared" si="9"/>
        <v>-71875</v>
      </c>
      <c r="O22" s="14">
        <f t="shared" si="4"/>
        <v>0.8</v>
      </c>
      <c r="P22" s="13" t="str">
        <f>IF(Actuals_Monthly!B22="","",Actuals_Monthly!B22)</f>
        <v/>
      </c>
      <c r="Q22" s="13" t="str">
        <f>IF(OR(Actuals_Monthly!B22="",Actuals_Monthly!C22="",Actuals_Monthly!D22=""),"",Actuals_Monthly!B22-Actuals_Monthly!C22-Actuals_Monthly!D22)</f>
        <v/>
      </c>
      <c r="R22" s="13" t="str">
        <f t="shared" si="5"/>
        <v/>
      </c>
      <c r="S22" s="13" t="str">
        <f t="shared" si="6"/>
        <v/>
      </c>
      <c r="T22" s="12" t="str">
        <f t="shared" si="7"/>
        <v>أدخل الفعلي</v>
      </c>
      <c r="U22" s="19">
        <f t="shared" si="8"/>
        <v>0</v>
      </c>
    </row>
    <row r="23" spans="1:21" ht="24" customHeight="1">
      <c r="A23" s="12">
        <v>19</v>
      </c>
      <c r="B23" s="12" t="str">
        <f t="shared" si="0"/>
        <v>Q7</v>
      </c>
      <c r="C23" s="20">
        <f>C22*(1-Inputs!$C$15)+Inputs!$C$12</f>
        <v>9.5</v>
      </c>
      <c r="D23" s="20">
        <f>D22*(1-Inputs!$C$15)+Inputs!$C$13</f>
        <v>4.75</v>
      </c>
      <c r="E23" s="20">
        <f>E22*(1-Inputs!$C$15)+Inputs!$C$14</f>
        <v>0</v>
      </c>
      <c r="F23" s="20">
        <f t="shared" si="1"/>
        <v>14.25</v>
      </c>
      <c r="G23" s="13">
        <f>C23*Inputs!$C$6/12</f>
        <v>1979.1666666666667</v>
      </c>
      <c r="H23" s="13">
        <f>D23*Inputs!$C$7/12</f>
        <v>2968.75</v>
      </c>
      <c r="I23" s="13">
        <f>E23*Inputs!$C$8/12</f>
        <v>0</v>
      </c>
      <c r="J23" s="13">
        <f t="shared" si="2"/>
        <v>4947.916666666667</v>
      </c>
      <c r="K23" s="13">
        <f>J23*Inputs!$C$16</f>
        <v>989.58333333333348</v>
      </c>
      <c r="L23" s="13">
        <f>Inputs!$C$17</f>
        <v>4500</v>
      </c>
      <c r="M23" s="13">
        <f t="shared" si="3"/>
        <v>-541.66666666666652</v>
      </c>
      <c r="N23" s="13">
        <f t="shared" si="9"/>
        <v>-72416.666666666672</v>
      </c>
      <c r="O23" s="14">
        <f t="shared" si="4"/>
        <v>0.79999999999999993</v>
      </c>
      <c r="P23" s="13" t="str">
        <f>IF(Actuals_Monthly!B23="","",Actuals_Monthly!B23)</f>
        <v/>
      </c>
      <c r="Q23" s="13" t="str">
        <f>IF(OR(Actuals_Monthly!B23="",Actuals_Monthly!C23="",Actuals_Monthly!D23=""),"",Actuals_Monthly!B23-Actuals_Monthly!C23-Actuals_Monthly!D23)</f>
        <v/>
      </c>
      <c r="R23" s="13" t="str">
        <f t="shared" si="5"/>
        <v/>
      </c>
      <c r="S23" s="13" t="str">
        <f t="shared" si="6"/>
        <v/>
      </c>
      <c r="T23" s="12" t="str">
        <f t="shared" si="7"/>
        <v>أدخل الفعلي</v>
      </c>
      <c r="U23" s="19">
        <f t="shared" si="8"/>
        <v>0</v>
      </c>
    </row>
    <row r="24" spans="1:21" ht="24" customHeight="1">
      <c r="A24" s="12">
        <v>20</v>
      </c>
      <c r="B24" s="12" t="str">
        <f t="shared" si="0"/>
        <v>Q7</v>
      </c>
      <c r="C24" s="20">
        <f>C23*(1-Inputs!$C$15)+Inputs!$C$12</f>
        <v>10</v>
      </c>
      <c r="D24" s="20">
        <f>D23*(1-Inputs!$C$15)+Inputs!$C$13</f>
        <v>5</v>
      </c>
      <c r="E24" s="20">
        <f>E23*(1-Inputs!$C$15)+Inputs!$C$14</f>
        <v>0</v>
      </c>
      <c r="F24" s="20">
        <f t="shared" si="1"/>
        <v>15</v>
      </c>
      <c r="G24" s="13">
        <f>C24*Inputs!$C$6/12</f>
        <v>2083.3333333333335</v>
      </c>
      <c r="H24" s="13">
        <f>D24*Inputs!$C$7/12</f>
        <v>3125</v>
      </c>
      <c r="I24" s="13">
        <f>E24*Inputs!$C$8/12</f>
        <v>0</v>
      </c>
      <c r="J24" s="13">
        <f t="shared" si="2"/>
        <v>5208.3333333333339</v>
      </c>
      <c r="K24" s="13">
        <f>J24*Inputs!$C$16</f>
        <v>1041.6666666666667</v>
      </c>
      <c r="L24" s="13">
        <f>Inputs!$C$17</f>
        <v>4500</v>
      </c>
      <c r="M24" s="13">
        <f t="shared" si="3"/>
        <v>-333.33333333333303</v>
      </c>
      <c r="N24" s="13">
        <f t="shared" si="9"/>
        <v>-72750</v>
      </c>
      <c r="O24" s="14">
        <f t="shared" si="4"/>
        <v>0.79999999999999993</v>
      </c>
      <c r="P24" s="13" t="str">
        <f>IF(Actuals_Monthly!B24="","",Actuals_Monthly!B24)</f>
        <v/>
      </c>
      <c r="Q24" s="13" t="str">
        <f>IF(OR(Actuals_Monthly!B24="",Actuals_Monthly!C24="",Actuals_Monthly!D24=""),"",Actuals_Monthly!B24-Actuals_Monthly!C24-Actuals_Monthly!D24)</f>
        <v/>
      </c>
      <c r="R24" s="13" t="str">
        <f t="shared" si="5"/>
        <v/>
      </c>
      <c r="S24" s="13" t="str">
        <f t="shared" si="6"/>
        <v/>
      </c>
      <c r="T24" s="12" t="str">
        <f t="shared" si="7"/>
        <v>أدخل الفعلي</v>
      </c>
      <c r="U24" s="19">
        <f t="shared" si="8"/>
        <v>0</v>
      </c>
    </row>
    <row r="25" spans="1:21" ht="24" customHeight="1">
      <c r="A25" s="12">
        <v>21</v>
      </c>
      <c r="B25" s="12" t="str">
        <f t="shared" si="0"/>
        <v>Q7</v>
      </c>
      <c r="C25" s="20">
        <f>C24*(1-Inputs!$C$15)+Inputs!$C$12</f>
        <v>10.5</v>
      </c>
      <c r="D25" s="20">
        <f>D24*(1-Inputs!$C$15)+Inputs!$C$13</f>
        <v>5.25</v>
      </c>
      <c r="E25" s="20">
        <f>E24*(1-Inputs!$C$15)+Inputs!$C$14</f>
        <v>0</v>
      </c>
      <c r="F25" s="20">
        <f t="shared" si="1"/>
        <v>15.75</v>
      </c>
      <c r="G25" s="13">
        <f>C25*Inputs!$C$6/12</f>
        <v>2187.5</v>
      </c>
      <c r="H25" s="13">
        <f>D25*Inputs!$C$7/12</f>
        <v>3281.25</v>
      </c>
      <c r="I25" s="13">
        <f>E25*Inputs!$C$8/12</f>
        <v>0</v>
      </c>
      <c r="J25" s="13">
        <f t="shared" si="2"/>
        <v>5468.75</v>
      </c>
      <c r="K25" s="13">
        <f>J25*Inputs!$C$16</f>
        <v>1093.75</v>
      </c>
      <c r="L25" s="13">
        <f>Inputs!$C$17</f>
        <v>4500</v>
      </c>
      <c r="M25" s="13">
        <f t="shared" si="3"/>
        <v>-125</v>
      </c>
      <c r="N25" s="13">
        <f t="shared" si="9"/>
        <v>-72875</v>
      </c>
      <c r="O25" s="14">
        <f t="shared" si="4"/>
        <v>0.8</v>
      </c>
      <c r="P25" s="13" t="str">
        <f>IF(Actuals_Monthly!B25="","",Actuals_Monthly!B25)</f>
        <v/>
      </c>
      <c r="Q25" s="13" t="str">
        <f>IF(OR(Actuals_Monthly!B25="",Actuals_Monthly!C25="",Actuals_Monthly!D25=""),"",Actuals_Monthly!B25-Actuals_Monthly!C25-Actuals_Monthly!D25)</f>
        <v/>
      </c>
      <c r="R25" s="13" t="str">
        <f t="shared" si="5"/>
        <v/>
      </c>
      <c r="S25" s="13" t="str">
        <f t="shared" si="6"/>
        <v/>
      </c>
      <c r="T25" s="12" t="str">
        <f t="shared" si="7"/>
        <v>أدخل الفعلي</v>
      </c>
      <c r="U25" s="19">
        <f t="shared" si="8"/>
        <v>0</v>
      </c>
    </row>
    <row r="26" spans="1:21" ht="24" customHeight="1">
      <c r="A26" s="12">
        <v>22</v>
      </c>
      <c r="B26" s="12" t="str">
        <f t="shared" si="0"/>
        <v>Q8</v>
      </c>
      <c r="C26" s="20">
        <f>C25*(1-Inputs!$C$15)+Inputs!$C$12</f>
        <v>11</v>
      </c>
      <c r="D26" s="20">
        <f>D25*(1-Inputs!$C$15)+Inputs!$C$13</f>
        <v>5.5</v>
      </c>
      <c r="E26" s="20">
        <f>E25*(1-Inputs!$C$15)+Inputs!$C$14</f>
        <v>0</v>
      </c>
      <c r="F26" s="20">
        <f t="shared" si="1"/>
        <v>16.5</v>
      </c>
      <c r="G26" s="13">
        <f>C26*Inputs!$C$6/12</f>
        <v>2291.6666666666665</v>
      </c>
      <c r="H26" s="13">
        <f>D26*Inputs!$C$7/12</f>
        <v>3437.5</v>
      </c>
      <c r="I26" s="13">
        <f>E26*Inputs!$C$8/12</f>
        <v>0</v>
      </c>
      <c r="J26" s="13">
        <f t="shared" si="2"/>
        <v>5729.1666666666661</v>
      </c>
      <c r="K26" s="13">
        <f>J26*Inputs!$C$16</f>
        <v>1145.8333333333333</v>
      </c>
      <c r="L26" s="13">
        <f>Inputs!$C$17</f>
        <v>4500</v>
      </c>
      <c r="M26" s="13">
        <f t="shared" si="3"/>
        <v>83.33333333333303</v>
      </c>
      <c r="N26" s="13">
        <f t="shared" si="9"/>
        <v>-72791.666666666672</v>
      </c>
      <c r="O26" s="14">
        <f t="shared" si="4"/>
        <v>0.8</v>
      </c>
      <c r="P26" s="13" t="str">
        <f>IF(Actuals_Monthly!B26="","",Actuals_Monthly!B26)</f>
        <v/>
      </c>
      <c r="Q26" s="13" t="str">
        <f>IF(OR(Actuals_Monthly!B26="",Actuals_Monthly!C26="",Actuals_Monthly!D26=""),"",Actuals_Monthly!B26-Actuals_Monthly!C26-Actuals_Monthly!D26)</f>
        <v/>
      </c>
      <c r="R26" s="13" t="str">
        <f t="shared" si="5"/>
        <v/>
      </c>
      <c r="S26" s="13" t="str">
        <f t="shared" si="6"/>
        <v/>
      </c>
      <c r="T26" s="12" t="str">
        <f t="shared" si="7"/>
        <v>أدخل الفعلي</v>
      </c>
      <c r="U26" s="19">
        <f t="shared" si="8"/>
        <v>0</v>
      </c>
    </row>
    <row r="27" spans="1:21" ht="24" customHeight="1">
      <c r="A27" s="12">
        <v>23</v>
      </c>
      <c r="B27" s="12" t="str">
        <f t="shared" si="0"/>
        <v>Q8</v>
      </c>
      <c r="C27" s="20">
        <f>C26*(1-Inputs!$C$15)+Inputs!$C$12</f>
        <v>11.5</v>
      </c>
      <c r="D27" s="20">
        <f>D26*(1-Inputs!$C$15)+Inputs!$C$13</f>
        <v>5.75</v>
      </c>
      <c r="E27" s="20">
        <f>E26*(1-Inputs!$C$15)+Inputs!$C$14</f>
        <v>0</v>
      </c>
      <c r="F27" s="20">
        <f t="shared" si="1"/>
        <v>17.25</v>
      </c>
      <c r="G27" s="13">
        <f>C27*Inputs!$C$6/12</f>
        <v>2395.8333333333335</v>
      </c>
      <c r="H27" s="13">
        <f>D27*Inputs!$C$7/12</f>
        <v>3593.75</v>
      </c>
      <c r="I27" s="13">
        <f>E27*Inputs!$C$8/12</f>
        <v>0</v>
      </c>
      <c r="J27" s="13">
        <f t="shared" si="2"/>
        <v>5989.5833333333339</v>
      </c>
      <c r="K27" s="13">
        <f>J27*Inputs!$C$16</f>
        <v>1197.9166666666667</v>
      </c>
      <c r="L27" s="13">
        <f>Inputs!$C$17</f>
        <v>4500</v>
      </c>
      <c r="M27" s="13">
        <f t="shared" si="3"/>
        <v>291.66666666666697</v>
      </c>
      <c r="N27" s="13">
        <f t="shared" si="9"/>
        <v>-72500</v>
      </c>
      <c r="O27" s="14">
        <f t="shared" si="4"/>
        <v>0.79999999999999993</v>
      </c>
      <c r="P27" s="13" t="str">
        <f>IF(Actuals_Monthly!B27="","",Actuals_Monthly!B27)</f>
        <v/>
      </c>
      <c r="Q27" s="13" t="str">
        <f>IF(OR(Actuals_Monthly!B27="",Actuals_Monthly!C27="",Actuals_Monthly!D27=""),"",Actuals_Monthly!B27-Actuals_Monthly!C27-Actuals_Monthly!D27)</f>
        <v/>
      </c>
      <c r="R27" s="13" t="str">
        <f t="shared" si="5"/>
        <v/>
      </c>
      <c r="S27" s="13" t="str">
        <f t="shared" si="6"/>
        <v/>
      </c>
      <c r="T27" s="12" t="str">
        <f t="shared" si="7"/>
        <v>أدخل الفعلي</v>
      </c>
      <c r="U27" s="19">
        <f t="shared" si="8"/>
        <v>0</v>
      </c>
    </row>
    <row r="28" spans="1:21" ht="24" customHeight="1">
      <c r="A28" s="12">
        <v>24</v>
      </c>
      <c r="B28" s="12" t="str">
        <f t="shared" si="0"/>
        <v>Q8</v>
      </c>
      <c r="C28" s="20">
        <f>C27*(1-Inputs!$C$15)+Inputs!$C$12</f>
        <v>12</v>
      </c>
      <c r="D28" s="20">
        <f>D27*(1-Inputs!$C$15)+Inputs!$C$13</f>
        <v>6</v>
      </c>
      <c r="E28" s="20">
        <f>E27*(1-Inputs!$C$15)+Inputs!$C$14</f>
        <v>0</v>
      </c>
      <c r="F28" s="20">
        <f t="shared" si="1"/>
        <v>18</v>
      </c>
      <c r="G28" s="13">
        <f>C28*Inputs!$C$6/12</f>
        <v>2500</v>
      </c>
      <c r="H28" s="13">
        <f>D28*Inputs!$C$7/12</f>
        <v>3750</v>
      </c>
      <c r="I28" s="13">
        <f>E28*Inputs!$C$8/12</f>
        <v>0</v>
      </c>
      <c r="J28" s="13">
        <f t="shared" si="2"/>
        <v>6250</v>
      </c>
      <c r="K28" s="13">
        <f>J28*Inputs!$C$16</f>
        <v>1250</v>
      </c>
      <c r="L28" s="13">
        <f>Inputs!$C$17</f>
        <v>4500</v>
      </c>
      <c r="M28" s="13">
        <f t="shared" si="3"/>
        <v>500</v>
      </c>
      <c r="N28" s="13">
        <f t="shared" si="9"/>
        <v>-72000</v>
      </c>
      <c r="O28" s="14">
        <f t="shared" si="4"/>
        <v>0.8</v>
      </c>
      <c r="P28" s="13" t="str">
        <f>IF(Actuals_Monthly!B28="","",Actuals_Monthly!B28)</f>
        <v/>
      </c>
      <c r="Q28" s="13" t="str">
        <f>IF(OR(Actuals_Monthly!B28="",Actuals_Monthly!C28="",Actuals_Monthly!D28=""),"",Actuals_Monthly!B28-Actuals_Monthly!C28-Actuals_Monthly!D28)</f>
        <v/>
      </c>
      <c r="R28" s="13" t="str">
        <f t="shared" si="5"/>
        <v/>
      </c>
      <c r="S28" s="13" t="str">
        <f t="shared" si="6"/>
        <v/>
      </c>
      <c r="T28" s="12" t="str">
        <f t="shared" si="7"/>
        <v>أدخل الفعلي</v>
      </c>
      <c r="U28" s="19">
        <f t="shared" si="8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showGridLines="0" tabSelected="1" topLeftCell="B1" zoomScaleNormal="100" workbookViewId="0">
      <pane ySplit="4" topLeftCell="A5" activePane="bottomLeft" state="frozen"/>
      <selection pane="bottomLeft" activeCell="E15" sqref="E15"/>
    </sheetView>
  </sheetViews>
  <sheetFormatPr defaultColWidth="8.5703125" defaultRowHeight="15"/>
  <cols>
    <col min="1" max="1" width="3" customWidth="1"/>
    <col min="2" max="3" width="19" customWidth="1"/>
    <col min="4" max="4" width="3" customWidth="1"/>
    <col min="5" max="6" width="19" customWidth="1"/>
    <col min="7" max="7" width="3" customWidth="1"/>
    <col min="8" max="9" width="19" customWidth="1"/>
    <col min="10" max="10" width="3" customWidth="1"/>
    <col min="11" max="12" width="19" customWidth="1"/>
    <col min="13" max="13" width="3" customWidth="1"/>
  </cols>
  <sheetData>
    <row r="1" spans="1:12" ht="33.75" customHeight="1">
      <c r="A1" s="4" t="s">
        <v>119</v>
      </c>
      <c r="B1" s="4"/>
      <c r="C1" s="4"/>
      <c r="D1" s="4"/>
      <c r="E1" s="4"/>
      <c r="F1" s="4"/>
      <c r="G1" s="4"/>
      <c r="H1" s="4"/>
    </row>
    <row r="2" spans="1:12" ht="21.75" customHeight="1">
      <c r="A2" s="2" t="s">
        <v>120</v>
      </c>
      <c r="B2" s="2"/>
      <c r="C2" s="2"/>
      <c r="D2" s="2"/>
      <c r="E2" s="2"/>
      <c r="F2" s="2"/>
      <c r="G2" s="2"/>
      <c r="H2" s="2"/>
    </row>
    <row r="4" spans="1:12" ht="25.5">
      <c r="B4" s="21" t="s">
        <v>25</v>
      </c>
      <c r="C4" s="22">
        <f>Inputs!$C$5</f>
        <v>26500</v>
      </c>
      <c r="E4" s="21" t="s">
        <v>121</v>
      </c>
      <c r="F4" s="23">
        <f>Monthly_Model!J16</f>
        <v>3125</v>
      </c>
      <c r="H4" s="21" t="s">
        <v>122</v>
      </c>
      <c r="I4" s="24">
        <f>Monthly_Model!M16</f>
        <v>-2000</v>
      </c>
      <c r="K4" s="21" t="s">
        <v>113</v>
      </c>
      <c r="L4" s="25">
        <f>Monthly_Model!O16</f>
        <v>0.8</v>
      </c>
    </row>
    <row r="8" spans="1:12" ht="25.5">
      <c r="B8" s="21" t="s">
        <v>123</v>
      </c>
      <c r="C8" s="26">
        <f>Inputs!$C$17/(1-Inputs!$C$16)</f>
        <v>5625</v>
      </c>
      <c r="E8" s="21" t="s">
        <v>124</v>
      </c>
      <c r="F8" s="27">
        <f>IFERROR(C8/(Monthly_Model!J16/Monthly_Model!F16),"")</f>
        <v>16.2</v>
      </c>
      <c r="H8" s="21" t="s">
        <v>125</v>
      </c>
      <c r="I8" s="27" t="str">
        <f>IFERROR(INDEX(Monthly_Model!A5:A28,MATCH(1,Monthly_Model!U5:U28,0)),"غير محققة")</f>
        <v>غير محققة</v>
      </c>
      <c r="K8" s="21" t="s">
        <v>126</v>
      </c>
      <c r="L8" s="24">
        <f>Monthly_Model!N28</f>
        <v>-72000</v>
      </c>
    </row>
    <row r="12" spans="1:12" ht="18">
      <c r="B12" s="28" t="s">
        <v>127</v>
      </c>
      <c r="H12" s="28" t="s">
        <v>128</v>
      </c>
    </row>
    <row r="13" spans="1:12" ht="31.5" customHeight="1">
      <c r="B13" s="29" t="s">
        <v>74</v>
      </c>
      <c r="C13" s="29" t="s">
        <v>129</v>
      </c>
      <c r="D13" s="29" t="s">
        <v>76</v>
      </c>
      <c r="E13" s="29" t="s">
        <v>77</v>
      </c>
      <c r="F13" s="29" t="s">
        <v>22</v>
      </c>
      <c r="H13" s="29" t="s">
        <v>130</v>
      </c>
      <c r="I13" s="29" t="s">
        <v>131</v>
      </c>
      <c r="J13" s="29" t="s">
        <v>76</v>
      </c>
      <c r="K13" s="29" t="s">
        <v>132</v>
      </c>
    </row>
    <row r="14" spans="1:12" ht="24" customHeight="1">
      <c r="B14" s="12" t="str">
        <f>Budget_Variance!A5</f>
        <v>بناء المنتج والنسخة التجريبية</v>
      </c>
      <c r="C14" s="13">
        <f>Budget_Variance!B5</f>
        <v>11925</v>
      </c>
      <c r="D14" s="13">
        <f>Budget_Variance!C5</f>
        <v>0</v>
      </c>
      <c r="E14" s="13" t="str">
        <f>Budget_Variance!D5</f>
        <v/>
      </c>
      <c r="F14" s="12" t="str">
        <f>Budget_Variance!F5</f>
        <v>أدخل الفعلي</v>
      </c>
      <c r="H14" s="8" t="s">
        <v>133</v>
      </c>
      <c r="I14" s="14">
        <f>Inputs!C19</f>
        <v>0.9</v>
      </c>
      <c r="J14" s="30"/>
      <c r="K14" s="14" t="str">
        <f>IF(J14="","",J14-I14)</f>
        <v/>
      </c>
    </row>
    <row r="15" spans="1:12" ht="24" customHeight="1">
      <c r="B15" s="12" t="str">
        <f>Budget_Variance!A6</f>
        <v>التكامل والأمان والامتثال التقني</v>
      </c>
      <c r="C15" s="13">
        <f>Budget_Variance!B6</f>
        <v>6625</v>
      </c>
      <c r="D15" s="13">
        <f>Budget_Variance!C6</f>
        <v>0</v>
      </c>
      <c r="E15" s="13" t="str">
        <f>Budget_Variance!D6</f>
        <v/>
      </c>
      <c r="F15" s="12" t="str">
        <f>Budget_Variance!F6</f>
        <v>أدخل الفعلي</v>
      </c>
      <c r="H15" s="8" t="s">
        <v>134</v>
      </c>
      <c r="I15" s="14">
        <f>Inputs!C20</f>
        <v>0.6</v>
      </c>
      <c r="J15" s="30"/>
      <c r="K15" s="14" t="str">
        <f>IF(J15="","",J15-I15)</f>
        <v/>
      </c>
    </row>
    <row r="16" spans="1:12" ht="24" customHeight="1">
      <c r="B16" s="12" t="str">
        <f>Budget_Variance!A7</f>
        <v>إثبات السوق وتجربة العملاء</v>
      </c>
      <c r="C16" s="13">
        <f>Budget_Variance!B7</f>
        <v>5300</v>
      </c>
      <c r="D16" s="13">
        <f>Budget_Variance!C7</f>
        <v>0</v>
      </c>
      <c r="E16" s="13" t="str">
        <f>Budget_Variance!D7</f>
        <v/>
      </c>
      <c r="F16" s="12" t="str">
        <f>Budget_Variance!F7</f>
        <v>أدخل الفعلي</v>
      </c>
    </row>
    <row r="17" spans="2:12" ht="24" customHeight="1">
      <c r="B17" s="12" t="str">
        <f>Budget_Variance!A8</f>
        <v>التشغيل والامتثال الإداري</v>
      </c>
      <c r="C17" s="13">
        <f>Budget_Variance!B8</f>
        <v>2650</v>
      </c>
      <c r="D17" s="13">
        <f>Budget_Variance!C8</f>
        <v>0</v>
      </c>
      <c r="E17" s="13" t="str">
        <f>Budget_Variance!D8</f>
        <v/>
      </c>
      <c r="F17" s="12" t="str">
        <f>Budget_Variance!F8</f>
        <v>أدخل الفعلي</v>
      </c>
    </row>
    <row r="20" spans="2:12" ht="18">
      <c r="B20" s="28" t="s">
        <v>135</v>
      </c>
    </row>
    <row r="21" spans="2:12" ht="42" customHeight="1">
      <c r="B21" s="1" t="s">
        <v>136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3">
    <mergeCell ref="A1:H1"/>
    <mergeCell ref="A2:H2"/>
    <mergeCell ref="B21:L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24" width="18" customWidth="1"/>
  </cols>
  <sheetData>
    <row r="1" spans="1:24" ht="31.5" customHeight="1">
      <c r="A1" s="31" t="s">
        <v>137</v>
      </c>
      <c r="B1" s="31" t="s">
        <v>138</v>
      </c>
      <c r="C1" s="31" t="s">
        <v>139</v>
      </c>
      <c r="D1" s="31" t="s">
        <v>140</v>
      </c>
      <c r="E1" s="31" t="s">
        <v>141</v>
      </c>
      <c r="F1" s="31" t="s">
        <v>142</v>
      </c>
      <c r="G1" s="31" t="s">
        <v>143</v>
      </c>
      <c r="H1" s="31" t="s">
        <v>144</v>
      </c>
      <c r="I1" s="31" t="s">
        <v>145</v>
      </c>
      <c r="J1" s="31" t="s">
        <v>146</v>
      </c>
      <c r="K1" s="31" t="s">
        <v>147</v>
      </c>
      <c r="L1" s="31" t="s">
        <v>148</v>
      </c>
      <c r="M1" s="31" t="s">
        <v>149</v>
      </c>
      <c r="N1" s="31" t="s">
        <v>150</v>
      </c>
      <c r="O1" s="31" t="s">
        <v>151</v>
      </c>
      <c r="P1" s="31" t="s">
        <v>152</v>
      </c>
      <c r="Q1" s="31" t="s">
        <v>153</v>
      </c>
      <c r="R1" s="31" t="s">
        <v>154</v>
      </c>
      <c r="S1" s="31" t="s">
        <v>155</v>
      </c>
      <c r="T1" s="31" t="s">
        <v>156</v>
      </c>
      <c r="U1" s="31" t="s">
        <v>157</v>
      </c>
      <c r="V1" s="31" t="s">
        <v>158</v>
      </c>
      <c r="W1" s="31" t="s">
        <v>159</v>
      </c>
      <c r="X1" s="31" t="s">
        <v>160</v>
      </c>
    </row>
    <row r="2" spans="1:24">
      <c r="A2" s="19">
        <v>1</v>
      </c>
      <c r="B2" s="19" t="s">
        <v>161</v>
      </c>
      <c r="C2" s="19">
        <v>0.5</v>
      </c>
      <c r="D2" s="19">
        <v>0.25</v>
      </c>
      <c r="E2" s="19">
        <v>0</v>
      </c>
      <c r="F2" s="19">
        <v>0.75</v>
      </c>
      <c r="G2" s="32">
        <v>104.166666666667</v>
      </c>
      <c r="H2" s="32">
        <v>156.25</v>
      </c>
      <c r="I2" s="32">
        <v>0</v>
      </c>
      <c r="J2" s="32">
        <v>260.41666666666703</v>
      </c>
      <c r="K2" s="32">
        <v>52.0833333333333</v>
      </c>
      <c r="L2" s="32">
        <v>4500</v>
      </c>
      <c r="M2" s="32">
        <v>-4291.6666666666697</v>
      </c>
      <c r="N2" s="32">
        <v>-30791.666666666701</v>
      </c>
      <c r="O2" s="33">
        <v>0.8</v>
      </c>
      <c r="P2" s="32"/>
      <c r="Q2" s="32"/>
      <c r="R2" s="32"/>
      <c r="S2" s="32"/>
      <c r="T2" s="32"/>
      <c r="U2" s="32"/>
      <c r="V2" s="19"/>
      <c r="W2" s="33">
        <v>0.9</v>
      </c>
      <c r="X2" s="33">
        <v>0.6</v>
      </c>
    </row>
    <row r="3" spans="1:24">
      <c r="A3" s="19">
        <v>2</v>
      </c>
      <c r="B3" s="19" t="s">
        <v>161</v>
      </c>
      <c r="C3" s="19">
        <v>1</v>
      </c>
      <c r="D3" s="19">
        <v>0.5</v>
      </c>
      <c r="E3" s="19">
        <v>0</v>
      </c>
      <c r="F3" s="19">
        <v>1.5</v>
      </c>
      <c r="G3" s="32">
        <v>208.333333333333</v>
      </c>
      <c r="H3" s="32">
        <v>312.5</v>
      </c>
      <c r="I3" s="32">
        <v>0</v>
      </c>
      <c r="J3" s="32">
        <v>520.83333333333303</v>
      </c>
      <c r="K3" s="32">
        <v>104.166666666667</v>
      </c>
      <c r="L3" s="32">
        <v>4500</v>
      </c>
      <c r="M3" s="32">
        <v>-4083.3333333333298</v>
      </c>
      <c r="N3" s="32">
        <v>-34875</v>
      </c>
      <c r="O3" s="33">
        <v>0.8</v>
      </c>
      <c r="P3" s="32"/>
      <c r="Q3" s="32"/>
      <c r="R3" s="32"/>
      <c r="S3" s="32"/>
      <c r="T3" s="32"/>
      <c r="U3" s="32"/>
      <c r="V3" s="19"/>
      <c r="W3" s="33">
        <v>0.9</v>
      </c>
      <c r="X3" s="33">
        <v>0.6</v>
      </c>
    </row>
    <row r="4" spans="1:24">
      <c r="A4" s="19">
        <v>3</v>
      </c>
      <c r="B4" s="19" t="s">
        <v>161</v>
      </c>
      <c r="C4" s="19">
        <v>1.5</v>
      </c>
      <c r="D4" s="19">
        <v>0.75</v>
      </c>
      <c r="E4" s="19">
        <v>0</v>
      </c>
      <c r="F4" s="19">
        <v>2.25</v>
      </c>
      <c r="G4" s="32">
        <v>312.5</v>
      </c>
      <c r="H4" s="32">
        <v>468.75</v>
      </c>
      <c r="I4" s="32">
        <v>0</v>
      </c>
      <c r="J4" s="32">
        <v>781.25</v>
      </c>
      <c r="K4" s="32">
        <v>156.25</v>
      </c>
      <c r="L4" s="32">
        <v>4500</v>
      </c>
      <c r="M4" s="32">
        <v>-3875</v>
      </c>
      <c r="N4" s="32">
        <v>-38750</v>
      </c>
      <c r="O4" s="33">
        <v>0.8</v>
      </c>
      <c r="P4" s="32"/>
      <c r="Q4" s="32"/>
      <c r="R4" s="32"/>
      <c r="S4" s="32"/>
      <c r="T4" s="32"/>
      <c r="U4" s="32"/>
      <c r="V4" s="19"/>
      <c r="W4" s="33">
        <v>0.9</v>
      </c>
      <c r="X4" s="33">
        <v>0.6</v>
      </c>
    </row>
    <row r="5" spans="1:24">
      <c r="A5" s="19">
        <v>4</v>
      </c>
      <c r="B5" s="19" t="s">
        <v>162</v>
      </c>
      <c r="C5" s="19">
        <v>2</v>
      </c>
      <c r="D5" s="19">
        <v>1</v>
      </c>
      <c r="E5" s="19">
        <v>0</v>
      </c>
      <c r="F5" s="19">
        <v>3</v>
      </c>
      <c r="G5" s="32">
        <v>416.66666666666703</v>
      </c>
      <c r="H5" s="32">
        <v>625</v>
      </c>
      <c r="I5" s="32">
        <v>0</v>
      </c>
      <c r="J5" s="32">
        <v>1041.6666666666699</v>
      </c>
      <c r="K5" s="32">
        <v>208.333333333333</v>
      </c>
      <c r="L5" s="32">
        <v>4500</v>
      </c>
      <c r="M5" s="32">
        <v>-3666.6666666666702</v>
      </c>
      <c r="N5" s="32">
        <v>-42416.666666666701</v>
      </c>
      <c r="O5" s="33">
        <v>0.8</v>
      </c>
      <c r="P5" s="32"/>
      <c r="Q5" s="32"/>
      <c r="R5" s="32"/>
      <c r="S5" s="32"/>
      <c r="T5" s="32"/>
      <c r="U5" s="32"/>
      <c r="V5" s="19"/>
      <c r="W5" s="33">
        <v>0.9</v>
      </c>
      <c r="X5" s="33">
        <v>0.6</v>
      </c>
    </row>
    <row r="6" spans="1:24">
      <c r="A6" s="19">
        <v>5</v>
      </c>
      <c r="B6" s="19" t="s">
        <v>162</v>
      </c>
      <c r="C6" s="19">
        <v>2.5</v>
      </c>
      <c r="D6" s="19">
        <v>1.25</v>
      </c>
      <c r="E6" s="19">
        <v>0</v>
      </c>
      <c r="F6" s="19">
        <v>3.75</v>
      </c>
      <c r="G6" s="32">
        <v>520.83333333333303</v>
      </c>
      <c r="H6" s="32">
        <v>781.25</v>
      </c>
      <c r="I6" s="32">
        <v>0</v>
      </c>
      <c r="J6" s="32">
        <v>1302.0833333333301</v>
      </c>
      <c r="K6" s="32">
        <v>260.41666666666703</v>
      </c>
      <c r="L6" s="32">
        <v>4500</v>
      </c>
      <c r="M6" s="32">
        <v>-3458.3333333333298</v>
      </c>
      <c r="N6" s="32">
        <v>-45875</v>
      </c>
      <c r="O6" s="33">
        <v>0.8</v>
      </c>
      <c r="P6" s="32"/>
      <c r="Q6" s="32"/>
      <c r="R6" s="32"/>
      <c r="S6" s="32"/>
      <c r="T6" s="32"/>
      <c r="U6" s="32"/>
      <c r="V6" s="19"/>
      <c r="W6" s="33">
        <v>0.9</v>
      </c>
      <c r="X6" s="33">
        <v>0.6</v>
      </c>
    </row>
    <row r="7" spans="1:24">
      <c r="A7" s="19">
        <v>6</v>
      </c>
      <c r="B7" s="19" t="s">
        <v>162</v>
      </c>
      <c r="C7" s="19">
        <v>3</v>
      </c>
      <c r="D7" s="19">
        <v>1.5</v>
      </c>
      <c r="E7" s="19">
        <v>0</v>
      </c>
      <c r="F7" s="19">
        <v>4.5</v>
      </c>
      <c r="G7" s="32">
        <v>625</v>
      </c>
      <c r="H7" s="32">
        <v>937.5</v>
      </c>
      <c r="I7" s="32">
        <v>0</v>
      </c>
      <c r="J7" s="32">
        <v>1562.5</v>
      </c>
      <c r="K7" s="32">
        <v>312.5</v>
      </c>
      <c r="L7" s="32">
        <v>4500</v>
      </c>
      <c r="M7" s="32">
        <v>-3250</v>
      </c>
      <c r="N7" s="32">
        <v>-49125</v>
      </c>
      <c r="O7" s="33">
        <v>0.8</v>
      </c>
      <c r="P7" s="32"/>
      <c r="Q7" s="32"/>
      <c r="R7" s="32"/>
      <c r="S7" s="32"/>
      <c r="T7" s="32"/>
      <c r="U7" s="32"/>
      <c r="V7" s="19"/>
      <c r="W7" s="33">
        <v>0.9</v>
      </c>
      <c r="X7" s="33">
        <v>0.6</v>
      </c>
    </row>
    <row r="8" spans="1:24">
      <c r="A8" s="19">
        <v>7</v>
      </c>
      <c r="B8" s="19" t="s">
        <v>163</v>
      </c>
      <c r="C8" s="19">
        <v>3.5</v>
      </c>
      <c r="D8" s="19">
        <v>1.75</v>
      </c>
      <c r="E8" s="19">
        <v>0</v>
      </c>
      <c r="F8" s="19">
        <v>5.25</v>
      </c>
      <c r="G8" s="32">
        <v>729.16666666666697</v>
      </c>
      <c r="H8" s="32">
        <v>1093.75</v>
      </c>
      <c r="I8" s="32">
        <v>0</v>
      </c>
      <c r="J8" s="32">
        <v>1822.9166666666699</v>
      </c>
      <c r="K8" s="32">
        <v>364.58333333333297</v>
      </c>
      <c r="L8" s="32">
        <v>4500</v>
      </c>
      <c r="M8" s="32">
        <v>-3041.6666666666702</v>
      </c>
      <c r="N8" s="32">
        <v>-52166.666666666701</v>
      </c>
      <c r="O8" s="33">
        <v>0.8</v>
      </c>
      <c r="P8" s="32"/>
      <c r="Q8" s="32"/>
      <c r="R8" s="32"/>
      <c r="S8" s="32"/>
      <c r="T8" s="32"/>
      <c r="U8" s="32"/>
      <c r="V8" s="19"/>
      <c r="W8" s="33">
        <v>0.9</v>
      </c>
      <c r="X8" s="33">
        <v>0.6</v>
      </c>
    </row>
    <row r="9" spans="1:24">
      <c r="A9" s="19">
        <v>8</v>
      </c>
      <c r="B9" s="19" t="s">
        <v>163</v>
      </c>
      <c r="C9" s="19">
        <v>4</v>
      </c>
      <c r="D9" s="19">
        <v>2</v>
      </c>
      <c r="E9" s="19">
        <v>0</v>
      </c>
      <c r="F9" s="19">
        <v>6</v>
      </c>
      <c r="G9" s="32">
        <v>833.33333333333303</v>
      </c>
      <c r="H9" s="32">
        <v>1250</v>
      </c>
      <c r="I9" s="32">
        <v>0</v>
      </c>
      <c r="J9" s="32">
        <v>2083.3333333333298</v>
      </c>
      <c r="K9" s="32">
        <v>416.66666666666703</v>
      </c>
      <c r="L9" s="32">
        <v>4500</v>
      </c>
      <c r="M9" s="32">
        <v>-2833.3333333333298</v>
      </c>
      <c r="N9" s="32">
        <v>-55000</v>
      </c>
      <c r="O9" s="33">
        <v>0.8</v>
      </c>
      <c r="P9" s="32"/>
      <c r="Q9" s="32"/>
      <c r="R9" s="32"/>
      <c r="S9" s="32"/>
      <c r="T9" s="32"/>
      <c r="U9" s="32"/>
      <c r="V9" s="19"/>
      <c r="W9" s="33">
        <v>0.9</v>
      </c>
      <c r="X9" s="33">
        <v>0.6</v>
      </c>
    </row>
    <row r="10" spans="1:24">
      <c r="A10" s="19">
        <v>9</v>
      </c>
      <c r="B10" s="19" t="s">
        <v>163</v>
      </c>
      <c r="C10" s="19">
        <v>4.5</v>
      </c>
      <c r="D10" s="19">
        <v>2.25</v>
      </c>
      <c r="E10" s="19">
        <v>0</v>
      </c>
      <c r="F10" s="19">
        <v>6.75</v>
      </c>
      <c r="G10" s="32">
        <v>937.5</v>
      </c>
      <c r="H10" s="32">
        <v>1406.25</v>
      </c>
      <c r="I10" s="32">
        <v>0</v>
      </c>
      <c r="J10" s="32">
        <v>2343.75</v>
      </c>
      <c r="K10" s="32">
        <v>468.75</v>
      </c>
      <c r="L10" s="32">
        <v>4500</v>
      </c>
      <c r="M10" s="32">
        <v>-2625</v>
      </c>
      <c r="N10" s="32">
        <v>-57625</v>
      </c>
      <c r="O10" s="33">
        <v>0.8</v>
      </c>
      <c r="P10" s="32"/>
      <c r="Q10" s="32"/>
      <c r="R10" s="32"/>
      <c r="S10" s="32"/>
      <c r="T10" s="32"/>
      <c r="U10" s="32"/>
      <c r="V10" s="19"/>
      <c r="W10" s="33">
        <v>0.9</v>
      </c>
      <c r="X10" s="33">
        <v>0.6</v>
      </c>
    </row>
    <row r="11" spans="1:24">
      <c r="A11" s="19">
        <v>10</v>
      </c>
      <c r="B11" s="19" t="s">
        <v>164</v>
      </c>
      <c r="C11" s="19">
        <v>5</v>
      </c>
      <c r="D11" s="19">
        <v>2.5</v>
      </c>
      <c r="E11" s="19">
        <v>0</v>
      </c>
      <c r="F11" s="19">
        <v>7.5</v>
      </c>
      <c r="G11" s="32">
        <v>1041.6666666666699</v>
      </c>
      <c r="H11" s="32">
        <v>1562.5</v>
      </c>
      <c r="I11" s="32">
        <v>0</v>
      </c>
      <c r="J11" s="32">
        <v>2604.1666666666702</v>
      </c>
      <c r="K11" s="32">
        <v>520.83333333333303</v>
      </c>
      <c r="L11" s="32">
        <v>4500</v>
      </c>
      <c r="M11" s="32">
        <v>-2416.6666666666702</v>
      </c>
      <c r="N11" s="32">
        <v>-60041.666666666701</v>
      </c>
      <c r="O11" s="33">
        <v>0.8</v>
      </c>
      <c r="P11" s="32"/>
      <c r="Q11" s="32"/>
      <c r="R11" s="32"/>
      <c r="S11" s="32"/>
      <c r="T11" s="32"/>
      <c r="U11" s="32"/>
      <c r="V11" s="19"/>
      <c r="W11" s="33">
        <v>0.9</v>
      </c>
      <c r="X11" s="33">
        <v>0.6</v>
      </c>
    </row>
    <row r="12" spans="1:24">
      <c r="A12" s="19">
        <v>11</v>
      </c>
      <c r="B12" s="19" t="s">
        <v>164</v>
      </c>
      <c r="C12" s="19">
        <v>5.5</v>
      </c>
      <c r="D12" s="19">
        <v>2.75</v>
      </c>
      <c r="E12" s="19">
        <v>0</v>
      </c>
      <c r="F12" s="19">
        <v>8.25</v>
      </c>
      <c r="G12" s="32">
        <v>1145.8333333333301</v>
      </c>
      <c r="H12" s="32">
        <v>1718.75</v>
      </c>
      <c r="I12" s="32">
        <v>0</v>
      </c>
      <c r="J12" s="32">
        <v>2864.5833333333298</v>
      </c>
      <c r="K12" s="32">
        <v>572.91666666666697</v>
      </c>
      <c r="L12" s="32">
        <v>4500</v>
      </c>
      <c r="M12" s="32">
        <v>-2208.3333333333298</v>
      </c>
      <c r="N12" s="32">
        <v>-62250</v>
      </c>
      <c r="O12" s="33">
        <v>0.8</v>
      </c>
      <c r="P12" s="32"/>
      <c r="Q12" s="32"/>
      <c r="R12" s="32"/>
      <c r="S12" s="32"/>
      <c r="T12" s="32"/>
      <c r="U12" s="32"/>
      <c r="V12" s="19"/>
      <c r="W12" s="33">
        <v>0.9</v>
      </c>
      <c r="X12" s="33">
        <v>0.6</v>
      </c>
    </row>
    <row r="13" spans="1:24">
      <c r="A13" s="19">
        <v>12</v>
      </c>
      <c r="B13" s="19" t="s">
        <v>164</v>
      </c>
      <c r="C13" s="19">
        <v>6</v>
      </c>
      <c r="D13" s="19">
        <v>3</v>
      </c>
      <c r="E13" s="19">
        <v>0</v>
      </c>
      <c r="F13" s="19">
        <v>9</v>
      </c>
      <c r="G13" s="32">
        <v>1250</v>
      </c>
      <c r="H13" s="32">
        <v>1875</v>
      </c>
      <c r="I13" s="32">
        <v>0</v>
      </c>
      <c r="J13" s="32">
        <v>3125</v>
      </c>
      <c r="K13" s="32">
        <v>625</v>
      </c>
      <c r="L13" s="32">
        <v>4500</v>
      </c>
      <c r="M13" s="32">
        <v>-2000</v>
      </c>
      <c r="N13" s="32">
        <v>-64250</v>
      </c>
      <c r="O13" s="33">
        <v>0.8</v>
      </c>
      <c r="P13" s="32"/>
      <c r="Q13" s="32"/>
      <c r="R13" s="32"/>
      <c r="S13" s="32"/>
      <c r="T13" s="32"/>
      <c r="U13" s="32"/>
      <c r="V13" s="19"/>
      <c r="W13" s="33">
        <v>0.9</v>
      </c>
      <c r="X13" s="33">
        <v>0.6</v>
      </c>
    </row>
    <row r="14" spans="1:24">
      <c r="A14" s="19">
        <v>13</v>
      </c>
      <c r="B14" s="19" t="s">
        <v>165</v>
      </c>
      <c r="C14" s="19">
        <v>6.5</v>
      </c>
      <c r="D14" s="19">
        <v>3.25</v>
      </c>
      <c r="E14" s="19">
        <v>0</v>
      </c>
      <c r="F14" s="19">
        <v>9.75</v>
      </c>
      <c r="G14" s="32">
        <v>1354.1666666666699</v>
      </c>
      <c r="H14" s="32">
        <v>2031.25</v>
      </c>
      <c r="I14" s="32">
        <v>0</v>
      </c>
      <c r="J14" s="32">
        <v>3385.4166666666702</v>
      </c>
      <c r="K14" s="32">
        <v>677.08333333333405</v>
      </c>
      <c r="L14" s="32">
        <v>4500</v>
      </c>
      <c r="M14" s="32">
        <v>-1791.6666666666699</v>
      </c>
      <c r="N14" s="32">
        <v>-66041.666666666701</v>
      </c>
      <c r="O14" s="33">
        <v>0.8</v>
      </c>
      <c r="P14" s="32"/>
      <c r="Q14" s="32"/>
      <c r="R14" s="32"/>
      <c r="S14" s="32"/>
      <c r="T14" s="32"/>
      <c r="U14" s="32"/>
      <c r="V14" s="19"/>
      <c r="W14" s="33">
        <v>0.9</v>
      </c>
      <c r="X14" s="33">
        <v>0.6</v>
      </c>
    </row>
    <row r="15" spans="1:24">
      <c r="A15" s="19">
        <v>14</v>
      </c>
      <c r="B15" s="19" t="s">
        <v>165</v>
      </c>
      <c r="C15" s="19">
        <v>7</v>
      </c>
      <c r="D15" s="19">
        <v>3.5</v>
      </c>
      <c r="E15" s="19">
        <v>0</v>
      </c>
      <c r="F15" s="19">
        <v>10.5</v>
      </c>
      <c r="G15" s="32">
        <v>1458.3333333333301</v>
      </c>
      <c r="H15" s="32">
        <v>2187.5</v>
      </c>
      <c r="I15" s="32">
        <v>0</v>
      </c>
      <c r="J15" s="32">
        <v>3645.8333333333298</v>
      </c>
      <c r="K15" s="32">
        <v>729.16666666666697</v>
      </c>
      <c r="L15" s="32">
        <v>4500</v>
      </c>
      <c r="M15" s="32">
        <v>-1583.3333333333301</v>
      </c>
      <c r="N15" s="32">
        <v>-67625</v>
      </c>
      <c r="O15" s="33">
        <v>0.8</v>
      </c>
      <c r="P15" s="32"/>
      <c r="Q15" s="32"/>
      <c r="R15" s="32"/>
      <c r="S15" s="32"/>
      <c r="T15" s="32"/>
      <c r="U15" s="32"/>
      <c r="V15" s="19"/>
      <c r="W15" s="33">
        <v>0.9</v>
      </c>
      <c r="X15" s="33">
        <v>0.6</v>
      </c>
    </row>
    <row r="16" spans="1:24">
      <c r="A16" s="19">
        <v>15</v>
      </c>
      <c r="B16" s="19" t="s">
        <v>165</v>
      </c>
      <c r="C16" s="19">
        <v>7.5</v>
      </c>
      <c r="D16" s="19">
        <v>3.75</v>
      </c>
      <c r="E16" s="19">
        <v>0</v>
      </c>
      <c r="F16" s="19">
        <v>11.25</v>
      </c>
      <c r="G16" s="32">
        <v>1562.5</v>
      </c>
      <c r="H16" s="32">
        <v>2343.75</v>
      </c>
      <c r="I16" s="32">
        <v>0</v>
      </c>
      <c r="J16" s="32">
        <v>3906.25</v>
      </c>
      <c r="K16" s="32">
        <v>781.25</v>
      </c>
      <c r="L16" s="32">
        <v>4500</v>
      </c>
      <c r="M16" s="32">
        <v>-1375</v>
      </c>
      <c r="N16" s="32">
        <v>-69000</v>
      </c>
      <c r="O16" s="33">
        <v>0.8</v>
      </c>
      <c r="P16" s="32"/>
      <c r="Q16" s="32"/>
      <c r="R16" s="32"/>
      <c r="S16" s="32"/>
      <c r="T16" s="32"/>
      <c r="U16" s="32"/>
      <c r="V16" s="19"/>
      <c r="W16" s="33">
        <v>0.9</v>
      </c>
      <c r="X16" s="33">
        <v>0.6</v>
      </c>
    </row>
    <row r="17" spans="1:24">
      <c r="A17" s="19">
        <v>16</v>
      </c>
      <c r="B17" s="19" t="s">
        <v>166</v>
      </c>
      <c r="C17" s="19">
        <v>8</v>
      </c>
      <c r="D17" s="19">
        <v>4</v>
      </c>
      <c r="E17" s="19">
        <v>0</v>
      </c>
      <c r="F17" s="19">
        <v>12</v>
      </c>
      <c r="G17" s="32">
        <v>1666.6666666666699</v>
      </c>
      <c r="H17" s="32">
        <v>2500</v>
      </c>
      <c r="I17" s="32">
        <v>0</v>
      </c>
      <c r="J17" s="32">
        <v>4166.6666666666697</v>
      </c>
      <c r="K17" s="32">
        <v>833.33333333333405</v>
      </c>
      <c r="L17" s="32">
        <v>4500</v>
      </c>
      <c r="M17" s="32">
        <v>-1166.6666666666699</v>
      </c>
      <c r="N17" s="32">
        <v>-70166.666666666701</v>
      </c>
      <c r="O17" s="33">
        <v>0.8</v>
      </c>
      <c r="P17" s="32"/>
      <c r="Q17" s="32"/>
      <c r="R17" s="32"/>
      <c r="S17" s="32"/>
      <c r="T17" s="32"/>
      <c r="U17" s="32"/>
      <c r="V17" s="19"/>
      <c r="W17" s="33">
        <v>0.9</v>
      </c>
      <c r="X17" s="33">
        <v>0.6</v>
      </c>
    </row>
    <row r="18" spans="1:24">
      <c r="A18" s="19">
        <v>17</v>
      </c>
      <c r="B18" s="19" t="s">
        <v>166</v>
      </c>
      <c r="C18" s="19">
        <v>8.5</v>
      </c>
      <c r="D18" s="19">
        <v>4.25</v>
      </c>
      <c r="E18" s="19">
        <v>0</v>
      </c>
      <c r="F18" s="19">
        <v>12.75</v>
      </c>
      <c r="G18" s="32">
        <v>1770.8333333333301</v>
      </c>
      <c r="H18" s="32">
        <v>2656.25</v>
      </c>
      <c r="I18" s="32">
        <v>0</v>
      </c>
      <c r="J18" s="32">
        <v>4427.0833333333303</v>
      </c>
      <c r="K18" s="32">
        <v>885.41666666666697</v>
      </c>
      <c r="L18" s="32">
        <v>4500</v>
      </c>
      <c r="M18" s="32">
        <v>-958.33333333333405</v>
      </c>
      <c r="N18" s="32">
        <v>-71125</v>
      </c>
      <c r="O18" s="33">
        <v>0.8</v>
      </c>
      <c r="P18" s="32"/>
      <c r="Q18" s="32"/>
      <c r="R18" s="32"/>
      <c r="S18" s="32"/>
      <c r="T18" s="32"/>
      <c r="U18" s="32"/>
      <c r="V18" s="19"/>
      <c r="W18" s="33">
        <v>0.9</v>
      </c>
      <c r="X18" s="33">
        <v>0.6</v>
      </c>
    </row>
    <row r="19" spans="1:24">
      <c r="A19" s="19">
        <v>18</v>
      </c>
      <c r="B19" s="19" t="s">
        <v>166</v>
      </c>
      <c r="C19" s="19">
        <v>9</v>
      </c>
      <c r="D19" s="19">
        <v>4.5</v>
      </c>
      <c r="E19" s="19">
        <v>0</v>
      </c>
      <c r="F19" s="19">
        <v>13.5</v>
      </c>
      <c r="G19" s="32">
        <v>1875</v>
      </c>
      <c r="H19" s="32">
        <v>2812.5</v>
      </c>
      <c r="I19" s="32">
        <v>0</v>
      </c>
      <c r="J19" s="32">
        <v>4687.5</v>
      </c>
      <c r="K19" s="32">
        <v>937.5</v>
      </c>
      <c r="L19" s="32">
        <v>4500</v>
      </c>
      <c r="M19" s="32">
        <v>-750</v>
      </c>
      <c r="N19" s="32">
        <v>-71875</v>
      </c>
      <c r="O19" s="33">
        <v>0.8</v>
      </c>
      <c r="P19" s="32"/>
      <c r="Q19" s="32"/>
      <c r="R19" s="32"/>
      <c r="S19" s="32"/>
      <c r="T19" s="32"/>
      <c r="U19" s="32"/>
      <c r="V19" s="19"/>
      <c r="W19" s="33">
        <v>0.9</v>
      </c>
      <c r="X19" s="33">
        <v>0.6</v>
      </c>
    </row>
    <row r="20" spans="1:24">
      <c r="A20" s="19">
        <v>19</v>
      </c>
      <c r="B20" s="19" t="s">
        <v>167</v>
      </c>
      <c r="C20" s="19">
        <v>9.5</v>
      </c>
      <c r="D20" s="19">
        <v>4.75</v>
      </c>
      <c r="E20" s="19">
        <v>0</v>
      </c>
      <c r="F20" s="19">
        <v>14.25</v>
      </c>
      <c r="G20" s="32">
        <v>1979.1666666666699</v>
      </c>
      <c r="H20" s="32">
        <v>2968.75</v>
      </c>
      <c r="I20" s="32">
        <v>0</v>
      </c>
      <c r="J20" s="32">
        <v>4947.9166666666697</v>
      </c>
      <c r="K20" s="32">
        <v>989.58333333333405</v>
      </c>
      <c r="L20" s="32">
        <v>4500</v>
      </c>
      <c r="M20" s="32">
        <v>-541.66666666666697</v>
      </c>
      <c r="N20" s="32">
        <v>-72416.666666666701</v>
      </c>
      <c r="O20" s="33">
        <v>0.8</v>
      </c>
      <c r="P20" s="32"/>
      <c r="Q20" s="32"/>
      <c r="R20" s="32"/>
      <c r="S20" s="32"/>
      <c r="T20" s="32"/>
      <c r="U20" s="32"/>
      <c r="V20" s="19"/>
      <c r="W20" s="33">
        <v>0.9</v>
      </c>
      <c r="X20" s="33">
        <v>0.6</v>
      </c>
    </row>
    <row r="21" spans="1:24">
      <c r="A21" s="19">
        <v>20</v>
      </c>
      <c r="B21" s="19" t="s">
        <v>167</v>
      </c>
      <c r="C21" s="19">
        <v>10</v>
      </c>
      <c r="D21" s="19">
        <v>5</v>
      </c>
      <c r="E21" s="19">
        <v>0</v>
      </c>
      <c r="F21" s="19">
        <v>15</v>
      </c>
      <c r="G21" s="32">
        <v>2083.3333333333298</v>
      </c>
      <c r="H21" s="32">
        <v>3125</v>
      </c>
      <c r="I21" s="32">
        <v>0</v>
      </c>
      <c r="J21" s="32">
        <v>5208.3333333333303</v>
      </c>
      <c r="K21" s="32">
        <v>1041.6666666666699</v>
      </c>
      <c r="L21" s="32">
        <v>4500</v>
      </c>
      <c r="M21" s="32">
        <v>-333.33333333333297</v>
      </c>
      <c r="N21" s="32">
        <v>-72750</v>
      </c>
      <c r="O21" s="33">
        <v>0.8</v>
      </c>
      <c r="P21" s="32"/>
      <c r="Q21" s="32"/>
      <c r="R21" s="32"/>
      <c r="S21" s="32"/>
      <c r="T21" s="32"/>
      <c r="U21" s="32"/>
      <c r="V21" s="19"/>
      <c r="W21" s="33">
        <v>0.9</v>
      </c>
      <c r="X21" s="33">
        <v>0.6</v>
      </c>
    </row>
    <row r="22" spans="1:24">
      <c r="A22" s="19">
        <v>21</v>
      </c>
      <c r="B22" s="19" t="s">
        <v>167</v>
      </c>
      <c r="C22" s="19">
        <v>10.5</v>
      </c>
      <c r="D22" s="19">
        <v>5.25</v>
      </c>
      <c r="E22" s="19">
        <v>0</v>
      </c>
      <c r="F22" s="19">
        <v>15.75</v>
      </c>
      <c r="G22" s="32">
        <v>2187.5</v>
      </c>
      <c r="H22" s="32">
        <v>3281.25</v>
      </c>
      <c r="I22" s="32">
        <v>0</v>
      </c>
      <c r="J22" s="32">
        <v>5468.75</v>
      </c>
      <c r="K22" s="32">
        <v>1093.75</v>
      </c>
      <c r="L22" s="32">
        <v>4500</v>
      </c>
      <c r="M22" s="32">
        <v>-125</v>
      </c>
      <c r="N22" s="32">
        <v>-72875</v>
      </c>
      <c r="O22" s="33">
        <v>0.8</v>
      </c>
      <c r="P22" s="32"/>
      <c r="Q22" s="32"/>
      <c r="R22" s="32"/>
      <c r="S22" s="32"/>
      <c r="T22" s="32"/>
      <c r="U22" s="32"/>
      <c r="V22" s="19"/>
      <c r="W22" s="33">
        <v>0.9</v>
      </c>
      <c r="X22" s="33">
        <v>0.6</v>
      </c>
    </row>
    <row r="23" spans="1:24">
      <c r="A23" s="19">
        <v>22</v>
      </c>
      <c r="B23" s="19" t="s">
        <v>168</v>
      </c>
      <c r="C23" s="19">
        <v>11</v>
      </c>
      <c r="D23" s="19">
        <v>5.5</v>
      </c>
      <c r="E23" s="19">
        <v>0</v>
      </c>
      <c r="F23" s="19">
        <v>16.5</v>
      </c>
      <c r="G23" s="32">
        <v>2291.6666666666702</v>
      </c>
      <c r="H23" s="32">
        <v>3437.5</v>
      </c>
      <c r="I23" s="32">
        <v>0</v>
      </c>
      <c r="J23" s="32">
        <v>5729.1666666666697</v>
      </c>
      <c r="K23" s="32">
        <v>1145.8333333333301</v>
      </c>
      <c r="L23" s="32">
        <v>4500</v>
      </c>
      <c r="M23" s="32">
        <v>83.333333333333002</v>
      </c>
      <c r="N23" s="32">
        <v>-72791.666666666701</v>
      </c>
      <c r="O23" s="33">
        <v>0.8</v>
      </c>
      <c r="P23" s="32"/>
      <c r="Q23" s="32"/>
      <c r="R23" s="32"/>
      <c r="S23" s="32"/>
      <c r="T23" s="32"/>
      <c r="U23" s="32"/>
      <c r="V23" s="19"/>
      <c r="W23" s="33">
        <v>0.9</v>
      </c>
      <c r="X23" s="33">
        <v>0.6</v>
      </c>
    </row>
    <row r="24" spans="1:24">
      <c r="A24" s="19">
        <v>23</v>
      </c>
      <c r="B24" s="19" t="s">
        <v>168</v>
      </c>
      <c r="C24" s="19">
        <v>11.5</v>
      </c>
      <c r="D24" s="19">
        <v>5.75</v>
      </c>
      <c r="E24" s="19">
        <v>0</v>
      </c>
      <c r="F24" s="19">
        <v>17.25</v>
      </c>
      <c r="G24" s="32">
        <v>2395.8333333333298</v>
      </c>
      <c r="H24" s="32">
        <v>3593.75</v>
      </c>
      <c r="I24" s="32">
        <v>0</v>
      </c>
      <c r="J24" s="32">
        <v>5989.5833333333303</v>
      </c>
      <c r="K24" s="32">
        <v>1197.9166666666699</v>
      </c>
      <c r="L24" s="32">
        <v>4500</v>
      </c>
      <c r="M24" s="32">
        <v>291.66666666666703</v>
      </c>
      <c r="N24" s="32">
        <v>-72500</v>
      </c>
      <c r="O24" s="33">
        <v>0.8</v>
      </c>
      <c r="P24" s="32"/>
      <c r="Q24" s="32"/>
      <c r="R24" s="32"/>
      <c r="S24" s="32"/>
      <c r="T24" s="32"/>
      <c r="U24" s="32"/>
      <c r="V24" s="19"/>
      <c r="W24" s="33">
        <v>0.9</v>
      </c>
      <c r="X24" s="33">
        <v>0.6</v>
      </c>
    </row>
    <row r="25" spans="1:24">
      <c r="A25" s="19">
        <v>24</v>
      </c>
      <c r="B25" s="19" t="s">
        <v>168</v>
      </c>
      <c r="C25" s="19">
        <v>12</v>
      </c>
      <c r="D25" s="19">
        <v>6</v>
      </c>
      <c r="E25" s="19">
        <v>0</v>
      </c>
      <c r="F25" s="19">
        <v>18</v>
      </c>
      <c r="G25" s="32">
        <v>2500</v>
      </c>
      <c r="H25" s="32">
        <v>3750</v>
      </c>
      <c r="I25" s="32">
        <v>0</v>
      </c>
      <c r="J25" s="32">
        <v>6250</v>
      </c>
      <c r="K25" s="32">
        <v>1250</v>
      </c>
      <c r="L25" s="32">
        <v>4500</v>
      </c>
      <c r="M25" s="32">
        <v>500</v>
      </c>
      <c r="N25" s="32">
        <v>-72000</v>
      </c>
      <c r="O25" s="33">
        <v>0.8</v>
      </c>
      <c r="P25" s="32"/>
      <c r="Q25" s="32"/>
      <c r="R25" s="32"/>
      <c r="S25" s="32"/>
      <c r="T25" s="32"/>
      <c r="U25" s="32"/>
      <c r="V25" s="19"/>
      <c r="W25" s="33">
        <v>0.9</v>
      </c>
      <c r="X25" s="33">
        <v>0.6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2" width="18" customWidth="1"/>
    <col min="3" max="3" width="20" customWidth="1"/>
    <col min="4" max="4" width="24" customWidth="1"/>
    <col min="5" max="5" width="26" customWidth="1"/>
    <col min="6" max="6" width="18" customWidth="1"/>
    <col min="7" max="7" width="20" customWidth="1"/>
    <col min="8" max="8" width="38" customWidth="1"/>
  </cols>
  <sheetData>
    <row r="1" spans="1:8" ht="33.75" customHeight="1">
      <c r="A1" s="4" t="s">
        <v>169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170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171</v>
      </c>
      <c r="B4" s="7" t="s">
        <v>172</v>
      </c>
      <c r="C4" s="7" t="s">
        <v>173</v>
      </c>
      <c r="D4" s="7" t="s">
        <v>174</v>
      </c>
      <c r="E4" s="7" t="s">
        <v>175</v>
      </c>
      <c r="F4" s="7" t="s">
        <v>176</v>
      </c>
      <c r="G4" s="7" t="s">
        <v>123</v>
      </c>
      <c r="H4" s="7" t="s">
        <v>125</v>
      </c>
    </row>
    <row r="5" spans="1:8">
      <c r="A5" s="8" t="s">
        <v>177</v>
      </c>
      <c r="B5" s="13">
        <v>2200</v>
      </c>
      <c r="C5" s="13">
        <v>6500</v>
      </c>
      <c r="D5" s="20">
        <v>0.25</v>
      </c>
      <c r="E5" s="20">
        <v>0.1</v>
      </c>
      <c r="F5" s="14">
        <v>0.3</v>
      </c>
      <c r="G5" s="13">
        <f>Inputs!$C$17/(1-F5)</f>
        <v>6428.5714285714294</v>
      </c>
      <c r="H5" s="8" t="s">
        <v>178</v>
      </c>
    </row>
    <row r="6" spans="1:8">
      <c r="A6" s="8" t="s">
        <v>179</v>
      </c>
      <c r="B6" s="13">
        <v>2500</v>
      </c>
      <c r="C6" s="13">
        <v>7500</v>
      </c>
      <c r="D6" s="20">
        <v>0.5</v>
      </c>
      <c r="E6" s="20">
        <v>0.25</v>
      </c>
      <c r="F6" s="14">
        <v>0.2</v>
      </c>
      <c r="G6" s="13">
        <f>Inputs!$C$17/(1-F6)</f>
        <v>5625</v>
      </c>
      <c r="H6" s="8" t="s">
        <v>178</v>
      </c>
    </row>
    <row r="7" spans="1:8">
      <c r="A7" s="8" t="s">
        <v>180</v>
      </c>
      <c r="B7" s="13">
        <v>2800</v>
      </c>
      <c r="C7" s="13">
        <v>8500</v>
      </c>
      <c r="D7" s="20">
        <v>0.75</v>
      </c>
      <c r="E7" s="20">
        <v>0.4</v>
      </c>
      <c r="F7" s="14">
        <v>0.15</v>
      </c>
      <c r="G7" s="13">
        <f>Inputs!$C$17/(1-F7)</f>
        <v>5294.1176470588234</v>
      </c>
      <c r="H7" s="8" t="s">
        <v>178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README</vt:lpstr>
      <vt:lpstr>Inputs</vt:lpstr>
      <vt:lpstr>Budget_Variance</vt:lpstr>
      <vt:lpstr>Actuals_Monthly</vt:lpstr>
      <vt:lpstr>Monthly_Model</vt:lpstr>
      <vt:lpstr>Dashboard</vt:lpstr>
      <vt:lpstr>PowerBI_Export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2026-08-15T11:44:38Z</dcterms:created>
  <dcterms:modified xsi:type="dcterms:W3CDTF">2026-08-15T11:44:38Z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2026-08-15T10:18:48Z</dcterms:created>
  <dc:creator>openpyxl</dc:creator>
  <dc:description/>
  <dc:language>en-US</dc:language>
  <cp:lastModifiedBy/>
  <dcterms:modified xsi:type="dcterms:W3CDTF">2026-08-15T10:18:48Z</dcterms:modified>
  <cp:revision>0</cp:revision>
  <dc:subject/>
  <dc:title/>
</cp:coreProperties>
</file>