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AEIS\"/>
    </mc:Choice>
  </mc:AlternateContent>
  <xr:revisionPtr revIDLastSave="0" documentId="8_{9AC25517-876F-4BDB-925D-5E9154BAD683}" xr6:coauthVersionLast="45" xr6:coauthVersionMax="45" xr10:uidLastSave="{00000000-0000-0000-0000-000000000000}"/>
  <bookViews>
    <workbookView xWindow="1455" yWindow="-120" windowWidth="17865" windowHeight="15600" firstSheet="5" activeTab="8" xr2:uid="{00000000-000D-0000-FFFF-FFFF00000000}"/>
  </bookViews>
  <sheets>
    <sheet name="README" sheetId="1" r:id="rId1"/>
    <sheet name="Inputs" sheetId="2" r:id="rId2"/>
    <sheet name="Budget_Variance" sheetId="3" r:id="rId3"/>
    <sheet name="Actuals_Monthly" sheetId="4" r:id="rId4"/>
    <sheet name="Monthly_Model" sheetId="5" r:id="rId5"/>
    <sheet name="Dashboard" sheetId="6" r:id="rId6"/>
    <sheet name="PowerBI_Export" sheetId="7" r:id="rId7"/>
    <sheet name="Sensitivity" sheetId="8" r:id="rId8"/>
    <sheet name="Three_Year_Forecast" sheetId="9" r:id="rId9"/>
    <sheet name="Sensitivity_3Y" sheetId="10" r:id="rId10"/>
  </sheets>
  <definedNames>
    <definedName name="_xlnm.Print_Area" localSheetId="9">Sensitivity_3Y!$A$1:$D$15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6" i="5" l="1"/>
  <c r="I6" i="5"/>
  <c r="D11" i="10"/>
  <c r="B11" i="10"/>
  <c r="E77" i="9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D77" i="9"/>
  <c r="E42" i="9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41" i="9"/>
  <c r="D41" i="9"/>
  <c r="E6" i="9"/>
  <c r="E7" i="9" s="1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D6" i="9"/>
  <c r="D7" i="9" s="1"/>
  <c r="G5" i="9"/>
  <c r="F5" i="9"/>
  <c r="E5" i="9"/>
  <c r="D5" i="9"/>
  <c r="G7" i="8"/>
  <c r="G6" i="8"/>
  <c r="G5" i="8"/>
  <c r="E17" i="6"/>
  <c r="D17" i="6"/>
  <c r="C17" i="6"/>
  <c r="B17" i="6"/>
  <c r="F16" i="6"/>
  <c r="D16" i="6"/>
  <c r="C16" i="6"/>
  <c r="B16" i="6"/>
  <c r="K15" i="6"/>
  <c r="I15" i="6"/>
  <c r="D15" i="6"/>
  <c r="C15" i="6"/>
  <c r="B15" i="6"/>
  <c r="K14" i="6"/>
  <c r="I14" i="6"/>
  <c r="D14" i="6"/>
  <c r="C14" i="6"/>
  <c r="B14" i="6"/>
  <c r="C4" i="6"/>
  <c r="T28" i="5"/>
  <c r="S28" i="5"/>
  <c r="Q28" i="5"/>
  <c r="P28" i="5"/>
  <c r="R28" i="5" s="1"/>
  <c r="L28" i="5"/>
  <c r="B28" i="5"/>
  <c r="T27" i="5"/>
  <c r="S27" i="5"/>
  <c r="Q27" i="5"/>
  <c r="P27" i="5"/>
  <c r="R27" i="5" s="1"/>
  <c r="L27" i="5"/>
  <c r="B27" i="5"/>
  <c r="T26" i="5"/>
  <c r="S26" i="5"/>
  <c r="Q26" i="5"/>
  <c r="P26" i="5"/>
  <c r="R26" i="5" s="1"/>
  <c r="L26" i="5"/>
  <c r="B26" i="5"/>
  <c r="T25" i="5"/>
  <c r="S25" i="5"/>
  <c r="Q25" i="5"/>
  <c r="P25" i="5"/>
  <c r="R25" i="5" s="1"/>
  <c r="L25" i="5"/>
  <c r="B25" i="5"/>
  <c r="T24" i="5"/>
  <c r="S24" i="5"/>
  <c r="Q24" i="5"/>
  <c r="P24" i="5"/>
  <c r="R24" i="5" s="1"/>
  <c r="L24" i="5"/>
  <c r="B24" i="5"/>
  <c r="T23" i="5"/>
  <c r="S23" i="5"/>
  <c r="Q23" i="5"/>
  <c r="P23" i="5"/>
  <c r="R23" i="5" s="1"/>
  <c r="L23" i="5"/>
  <c r="B23" i="5"/>
  <c r="T22" i="5"/>
  <c r="S22" i="5"/>
  <c r="Q22" i="5"/>
  <c r="P22" i="5"/>
  <c r="R22" i="5" s="1"/>
  <c r="L22" i="5"/>
  <c r="B22" i="5"/>
  <c r="T21" i="5"/>
  <c r="S21" i="5"/>
  <c r="Q21" i="5"/>
  <c r="P21" i="5"/>
  <c r="R21" i="5" s="1"/>
  <c r="L21" i="5"/>
  <c r="B21" i="5"/>
  <c r="T20" i="5"/>
  <c r="S20" i="5"/>
  <c r="Q20" i="5"/>
  <c r="P20" i="5"/>
  <c r="R20" i="5" s="1"/>
  <c r="L20" i="5"/>
  <c r="B20" i="5"/>
  <c r="T19" i="5"/>
  <c r="S19" i="5"/>
  <c r="Q19" i="5"/>
  <c r="P19" i="5"/>
  <c r="R19" i="5" s="1"/>
  <c r="L19" i="5"/>
  <c r="B19" i="5"/>
  <c r="T18" i="5"/>
  <c r="S18" i="5"/>
  <c r="Q18" i="5"/>
  <c r="P18" i="5"/>
  <c r="R18" i="5" s="1"/>
  <c r="L18" i="5"/>
  <c r="B18" i="5"/>
  <c r="T17" i="5"/>
  <c r="S17" i="5"/>
  <c r="Q17" i="5"/>
  <c r="P17" i="5"/>
  <c r="R17" i="5" s="1"/>
  <c r="L17" i="5"/>
  <c r="B17" i="5"/>
  <c r="T16" i="5"/>
  <c r="S16" i="5"/>
  <c r="Q16" i="5"/>
  <c r="P16" i="5"/>
  <c r="R16" i="5" s="1"/>
  <c r="L16" i="5"/>
  <c r="B16" i="5"/>
  <c r="T15" i="5"/>
  <c r="S15" i="5"/>
  <c r="Q15" i="5"/>
  <c r="P15" i="5"/>
  <c r="R15" i="5" s="1"/>
  <c r="L15" i="5"/>
  <c r="B15" i="5"/>
  <c r="T14" i="5"/>
  <c r="S14" i="5"/>
  <c r="Q14" i="5"/>
  <c r="P14" i="5"/>
  <c r="R14" i="5" s="1"/>
  <c r="L14" i="5"/>
  <c r="B14" i="5"/>
  <c r="T13" i="5"/>
  <c r="S13" i="5"/>
  <c r="Q13" i="5"/>
  <c r="P13" i="5"/>
  <c r="R13" i="5" s="1"/>
  <c r="L13" i="5"/>
  <c r="B13" i="5"/>
  <c r="T12" i="5"/>
  <c r="S12" i="5"/>
  <c r="Q12" i="5"/>
  <c r="P12" i="5"/>
  <c r="R12" i="5" s="1"/>
  <c r="L12" i="5"/>
  <c r="B12" i="5"/>
  <c r="S11" i="5"/>
  <c r="R11" i="5"/>
  <c r="Q11" i="5"/>
  <c r="P11" i="5"/>
  <c r="T11" i="5" s="1"/>
  <c r="L11" i="5"/>
  <c r="B11" i="5"/>
  <c r="S10" i="5"/>
  <c r="Q10" i="5"/>
  <c r="P10" i="5"/>
  <c r="R10" i="5" s="1"/>
  <c r="L10" i="5"/>
  <c r="B10" i="5"/>
  <c r="S9" i="5"/>
  <c r="Q9" i="5"/>
  <c r="P9" i="5"/>
  <c r="R9" i="5" s="1"/>
  <c r="L9" i="5"/>
  <c r="B9" i="5"/>
  <c r="S8" i="5"/>
  <c r="Q8" i="5"/>
  <c r="P8" i="5"/>
  <c r="R8" i="5" s="1"/>
  <c r="L8" i="5"/>
  <c r="B8" i="5"/>
  <c r="S7" i="5"/>
  <c r="Q7" i="5"/>
  <c r="P7" i="5"/>
  <c r="R7" i="5" s="1"/>
  <c r="L7" i="5"/>
  <c r="B7" i="5"/>
  <c r="S6" i="5"/>
  <c r="Q6" i="5"/>
  <c r="P6" i="5"/>
  <c r="L6" i="5"/>
  <c r="B6" i="5"/>
  <c r="S5" i="5"/>
  <c r="Q5" i="5"/>
  <c r="P5" i="5"/>
  <c r="R5" i="5" s="1"/>
  <c r="L5" i="5"/>
  <c r="E5" i="5"/>
  <c r="E6" i="5" s="1"/>
  <c r="D5" i="5"/>
  <c r="D6" i="5" s="1"/>
  <c r="C5" i="5"/>
  <c r="F5" i="5" s="1"/>
  <c r="B5" i="5"/>
  <c r="F10" i="3"/>
  <c r="E10" i="3"/>
  <c r="D10" i="3"/>
  <c r="C10" i="3"/>
  <c r="B10" i="3"/>
  <c r="F8" i="3"/>
  <c r="F17" i="6" s="1"/>
  <c r="E8" i="3"/>
  <c r="D8" i="3"/>
  <c r="F7" i="3"/>
  <c r="E7" i="3"/>
  <c r="D7" i="3"/>
  <c r="E16" i="6" s="1"/>
  <c r="F6" i="3"/>
  <c r="F15" i="6" s="1"/>
  <c r="E6" i="3"/>
  <c r="D6" i="3"/>
  <c r="E15" i="6" s="1"/>
  <c r="F5" i="3"/>
  <c r="F14" i="6" s="1"/>
  <c r="E5" i="3"/>
  <c r="D5" i="3"/>
  <c r="E14" i="6" s="1"/>
  <c r="E7" i="5" l="1"/>
  <c r="D7" i="5"/>
  <c r="H6" i="5"/>
  <c r="H5" i="9"/>
  <c r="I5" i="9" s="1"/>
  <c r="D8" i="9"/>
  <c r="G7" i="9"/>
  <c r="F7" i="9"/>
  <c r="G5" i="5"/>
  <c r="C6" i="5"/>
  <c r="H5" i="5"/>
  <c r="T5" i="5"/>
  <c r="T6" i="5"/>
  <c r="T9" i="5"/>
  <c r="T7" i="5"/>
  <c r="T8" i="5"/>
  <c r="T10" i="5"/>
  <c r="F6" i="9"/>
  <c r="G6" i="9"/>
  <c r="G41" i="9"/>
  <c r="D42" i="9"/>
  <c r="F41" i="9"/>
  <c r="I5" i="5"/>
  <c r="F77" i="9"/>
  <c r="G77" i="9"/>
  <c r="D78" i="9"/>
  <c r="J5" i="9" l="1"/>
  <c r="H7" i="5"/>
  <c r="D8" i="5"/>
  <c r="D79" i="9"/>
  <c r="G78" i="9"/>
  <c r="F78" i="9"/>
  <c r="F6" i="5"/>
  <c r="C7" i="5"/>
  <c r="G6" i="5"/>
  <c r="J6" i="5" s="1"/>
  <c r="H77" i="9"/>
  <c r="I77" i="9" s="1"/>
  <c r="F42" i="9"/>
  <c r="D43" i="9"/>
  <c r="G42" i="9"/>
  <c r="J5" i="5"/>
  <c r="F8" i="9"/>
  <c r="D9" i="9"/>
  <c r="G8" i="9"/>
  <c r="H6" i="9"/>
  <c r="I6" i="9" s="1"/>
  <c r="E8" i="5"/>
  <c r="I7" i="5"/>
  <c r="H41" i="9"/>
  <c r="I41" i="9" s="1"/>
  <c r="H7" i="9"/>
  <c r="I7" i="9" s="1"/>
  <c r="J41" i="9" l="1"/>
  <c r="J77" i="9"/>
  <c r="G9" i="9"/>
  <c r="F9" i="9"/>
  <c r="D10" i="9"/>
  <c r="D44" i="9"/>
  <c r="G43" i="9"/>
  <c r="F43" i="9"/>
  <c r="J6" i="9"/>
  <c r="J7" i="9" s="1"/>
  <c r="H8" i="5"/>
  <c r="D9" i="5"/>
  <c r="M5" i="5"/>
  <c r="N5" i="5" s="1"/>
  <c r="O5" i="5"/>
  <c r="K5" i="5"/>
  <c r="K6" i="5"/>
  <c r="M6" i="5" s="1"/>
  <c r="H78" i="9"/>
  <c r="I78" i="9" s="1"/>
  <c r="I8" i="5"/>
  <c r="E9" i="5"/>
  <c r="H8" i="9"/>
  <c r="I8" i="9" s="1"/>
  <c r="H42" i="9"/>
  <c r="I42" i="9" s="1"/>
  <c r="F7" i="5"/>
  <c r="C8" i="5"/>
  <c r="G7" i="5"/>
  <c r="J7" i="5" s="1"/>
  <c r="F79" i="9"/>
  <c r="D80" i="9"/>
  <c r="G79" i="9"/>
  <c r="J8" i="9" l="1"/>
  <c r="O6" i="5"/>
  <c r="M7" i="5"/>
  <c r="K7" i="5"/>
  <c r="O7" i="5"/>
  <c r="E10" i="5"/>
  <c r="I9" i="5"/>
  <c r="F10" i="9"/>
  <c r="G10" i="9"/>
  <c r="D11" i="9"/>
  <c r="H79" i="9"/>
  <c r="I79" i="9" s="1"/>
  <c r="F8" i="5"/>
  <c r="C9" i="5"/>
  <c r="G8" i="5"/>
  <c r="J8" i="5" s="1"/>
  <c r="N6" i="5"/>
  <c r="U5" i="5"/>
  <c r="J42" i="9"/>
  <c r="G80" i="9"/>
  <c r="F80" i="9"/>
  <c r="D81" i="9"/>
  <c r="D10" i="5"/>
  <c r="H9" i="5"/>
  <c r="H43" i="9"/>
  <c r="I43" i="9" s="1"/>
  <c r="H9" i="9"/>
  <c r="I9" i="9" s="1"/>
  <c r="G44" i="9"/>
  <c r="F44" i="9"/>
  <c r="D45" i="9"/>
  <c r="J78" i="9"/>
  <c r="J9" i="9" l="1"/>
  <c r="J79" i="9"/>
  <c r="D12" i="9"/>
  <c r="G11" i="9"/>
  <c r="F11" i="9"/>
  <c r="N7" i="5"/>
  <c r="U6" i="5"/>
  <c r="H44" i="9"/>
  <c r="I44" i="9" s="1"/>
  <c r="H10" i="9"/>
  <c r="I10" i="9" s="1"/>
  <c r="J10" i="9" s="1"/>
  <c r="E11" i="5"/>
  <c r="I10" i="5"/>
  <c r="D11" i="5"/>
  <c r="H10" i="5"/>
  <c r="J43" i="9"/>
  <c r="F9" i="5"/>
  <c r="C10" i="5"/>
  <c r="G9" i="5"/>
  <c r="J9" i="5" s="1"/>
  <c r="H80" i="9"/>
  <c r="I80" i="9" s="1"/>
  <c r="M8" i="5"/>
  <c r="K8" i="5"/>
  <c r="O8" i="5"/>
  <c r="F45" i="9"/>
  <c r="G45" i="9"/>
  <c r="D46" i="9"/>
  <c r="F81" i="9"/>
  <c r="D82" i="9"/>
  <c r="G81" i="9"/>
  <c r="J80" i="9" l="1"/>
  <c r="G12" i="9"/>
  <c r="F12" i="9"/>
  <c r="D13" i="9"/>
  <c r="H11" i="9"/>
  <c r="I11" i="9" s="1"/>
  <c r="J11" i="9" s="1"/>
  <c r="D47" i="9"/>
  <c r="G46" i="9"/>
  <c r="F46" i="9"/>
  <c r="H81" i="9"/>
  <c r="I81" i="9" s="1"/>
  <c r="H45" i="9"/>
  <c r="I45" i="9" s="1"/>
  <c r="J44" i="9"/>
  <c r="N8" i="5"/>
  <c r="U7" i="5"/>
  <c r="F10" i="5"/>
  <c r="C11" i="5"/>
  <c r="G10" i="5"/>
  <c r="J10" i="5" s="1"/>
  <c r="D12" i="5"/>
  <c r="H11" i="5"/>
  <c r="D83" i="9"/>
  <c r="G82" i="9"/>
  <c r="F82" i="9"/>
  <c r="M9" i="5"/>
  <c r="K9" i="5"/>
  <c r="O9" i="5" s="1"/>
  <c r="E12" i="5"/>
  <c r="I11" i="5"/>
  <c r="H82" i="9" l="1"/>
  <c r="I82" i="9" s="1"/>
  <c r="O10" i="5"/>
  <c r="K10" i="5"/>
  <c r="M10" i="5" s="1"/>
  <c r="N9" i="5"/>
  <c r="U8" i="5"/>
  <c r="H12" i="9"/>
  <c r="I12" i="9"/>
  <c r="J12" i="9" s="1"/>
  <c r="G83" i="9"/>
  <c r="F83" i="9"/>
  <c r="D84" i="9"/>
  <c r="F11" i="5"/>
  <c r="C12" i="5"/>
  <c r="G11" i="5"/>
  <c r="J11" i="5" s="1"/>
  <c r="J45" i="9"/>
  <c r="J81" i="9"/>
  <c r="H46" i="9"/>
  <c r="I46" i="9" s="1"/>
  <c r="G13" i="9"/>
  <c r="D14" i="9"/>
  <c r="F13" i="9"/>
  <c r="E13" i="5"/>
  <c r="I12" i="5"/>
  <c r="D13" i="5"/>
  <c r="H12" i="5"/>
  <c r="D48" i="9"/>
  <c r="G47" i="9"/>
  <c r="F47" i="9"/>
  <c r="E14" i="5" l="1"/>
  <c r="I13" i="5"/>
  <c r="J46" i="9"/>
  <c r="D85" i="9"/>
  <c r="F84" i="9"/>
  <c r="G84" i="9"/>
  <c r="N10" i="5"/>
  <c r="U9" i="5"/>
  <c r="H47" i="9"/>
  <c r="I47" i="9" s="1"/>
  <c r="D14" i="5"/>
  <c r="H13" i="5"/>
  <c r="F14" i="9"/>
  <c r="D15" i="9"/>
  <c r="G14" i="9"/>
  <c r="K11" i="5"/>
  <c r="M11" i="5" s="1"/>
  <c r="O11" i="5"/>
  <c r="D49" i="9"/>
  <c r="G48" i="9"/>
  <c r="F48" i="9"/>
  <c r="H13" i="9"/>
  <c r="I13" i="9" s="1"/>
  <c r="J13" i="9" s="1"/>
  <c r="J82" i="9"/>
  <c r="F12" i="5"/>
  <c r="C13" i="5"/>
  <c r="G12" i="5"/>
  <c r="J12" i="5" s="1"/>
  <c r="H83" i="9"/>
  <c r="I83" i="9" s="1"/>
  <c r="J47" i="9" l="1"/>
  <c r="U10" i="5"/>
  <c r="N11" i="5"/>
  <c r="H84" i="9"/>
  <c r="I84" i="9" s="1"/>
  <c r="J83" i="9"/>
  <c r="H48" i="9"/>
  <c r="I48" i="9" s="1"/>
  <c r="E15" i="5"/>
  <c r="I14" i="5"/>
  <c r="F13" i="5"/>
  <c r="C14" i="5"/>
  <c r="G13" i="5"/>
  <c r="J13" i="5" s="1"/>
  <c r="D16" i="9"/>
  <c r="G15" i="9"/>
  <c r="F15" i="9"/>
  <c r="M12" i="5"/>
  <c r="K12" i="5"/>
  <c r="O12" i="5" s="1"/>
  <c r="F49" i="9"/>
  <c r="D50" i="9"/>
  <c r="G49" i="9"/>
  <c r="H14" i="9"/>
  <c r="I14" i="9" s="1"/>
  <c r="J14" i="9" s="1"/>
  <c r="D15" i="5"/>
  <c r="H14" i="5"/>
  <c r="F85" i="9"/>
  <c r="G85" i="9"/>
  <c r="D86" i="9"/>
  <c r="J48" i="9" l="1"/>
  <c r="J84" i="9"/>
  <c r="N12" i="5"/>
  <c r="U11" i="5"/>
  <c r="D87" i="9"/>
  <c r="G86" i="9"/>
  <c r="F86" i="9"/>
  <c r="H15" i="9"/>
  <c r="I15" i="9" s="1"/>
  <c r="J15" i="9" s="1"/>
  <c r="D51" i="9"/>
  <c r="G50" i="9"/>
  <c r="F50" i="9"/>
  <c r="K13" i="5"/>
  <c r="O13" i="5" s="1"/>
  <c r="E16" i="5"/>
  <c r="I15" i="5"/>
  <c r="F14" i="5"/>
  <c r="C15" i="5"/>
  <c r="G14" i="5"/>
  <c r="J14" i="5" s="1"/>
  <c r="H85" i="9"/>
  <c r="I85" i="9" s="1"/>
  <c r="J85" i="9" s="1"/>
  <c r="D16" i="5"/>
  <c r="H15" i="5"/>
  <c r="H49" i="9"/>
  <c r="I49" i="9" s="1"/>
  <c r="J49" i="9" s="1"/>
  <c r="G16" i="9"/>
  <c r="D17" i="9"/>
  <c r="F16" i="9"/>
  <c r="F117" i="9" s="1"/>
  <c r="F15" i="5" l="1"/>
  <c r="C16" i="5"/>
  <c r="G15" i="5"/>
  <c r="J15" i="5" s="1"/>
  <c r="M13" i="5"/>
  <c r="D88" i="9"/>
  <c r="F87" i="9"/>
  <c r="G87" i="9"/>
  <c r="D18" i="9"/>
  <c r="F17" i="9"/>
  <c r="G17" i="9"/>
  <c r="E17" i="5"/>
  <c r="I16" i="5"/>
  <c r="H16" i="9"/>
  <c r="I16" i="9" s="1"/>
  <c r="J16" i="9" s="1"/>
  <c r="H50" i="9"/>
  <c r="I50" i="9" s="1"/>
  <c r="J50" i="9" s="1"/>
  <c r="N13" i="5"/>
  <c r="U12" i="5"/>
  <c r="D17" i="5"/>
  <c r="H16" i="5"/>
  <c r="M14" i="5"/>
  <c r="K14" i="5"/>
  <c r="O14" i="5" s="1"/>
  <c r="D52" i="9"/>
  <c r="G51" i="9"/>
  <c r="F51" i="9"/>
  <c r="H86" i="9"/>
  <c r="I86" i="9"/>
  <c r="J86" i="9" s="1"/>
  <c r="E117" i="9" l="1"/>
  <c r="H51" i="9"/>
  <c r="I51" i="9" s="1"/>
  <c r="J51" i="9" s="1"/>
  <c r="N14" i="5"/>
  <c r="U13" i="5"/>
  <c r="G52" i="9"/>
  <c r="F52" i="9"/>
  <c r="F120" i="9" s="1"/>
  <c r="D53" i="9"/>
  <c r="D18" i="5"/>
  <c r="H17" i="5"/>
  <c r="E18" i="5"/>
  <c r="I17" i="5"/>
  <c r="H87" i="9"/>
  <c r="I87" i="9" s="1"/>
  <c r="J87" i="9" s="1"/>
  <c r="K15" i="5"/>
  <c r="M15" i="5" s="1"/>
  <c r="G88" i="9"/>
  <c r="F88" i="9"/>
  <c r="F123" i="9" s="1"/>
  <c r="D89" i="9"/>
  <c r="F18" i="9"/>
  <c r="D19" i="9"/>
  <c r="G18" i="9"/>
  <c r="H17" i="9"/>
  <c r="I17" i="9" s="1"/>
  <c r="F16" i="5"/>
  <c r="C17" i="5"/>
  <c r="G16" i="5"/>
  <c r="J16" i="5" s="1"/>
  <c r="J17" i="9" l="1"/>
  <c r="F89" i="9"/>
  <c r="G89" i="9"/>
  <c r="D90" i="9"/>
  <c r="F53" i="9"/>
  <c r="G53" i="9"/>
  <c r="D54" i="9"/>
  <c r="F17" i="5"/>
  <c r="C18" i="5"/>
  <c r="G17" i="5"/>
  <c r="J17" i="5" s="1"/>
  <c r="O15" i="5"/>
  <c r="D19" i="5"/>
  <c r="H18" i="5"/>
  <c r="H18" i="9"/>
  <c r="I18" i="9" s="1"/>
  <c r="N15" i="5"/>
  <c r="U14" i="5"/>
  <c r="E19" i="5"/>
  <c r="I18" i="5"/>
  <c r="M16" i="5"/>
  <c r="F4" i="6"/>
  <c r="K16" i="5"/>
  <c r="C21" i="2"/>
  <c r="O16" i="5"/>
  <c r="D20" i="9"/>
  <c r="G19" i="9"/>
  <c r="F19" i="9"/>
  <c r="H88" i="9"/>
  <c r="I88" i="9" s="1"/>
  <c r="J88" i="9" s="1"/>
  <c r="H52" i="9"/>
  <c r="I52" i="9" s="1"/>
  <c r="J52" i="9" s="1"/>
  <c r="E123" i="9" l="1"/>
  <c r="E120" i="9"/>
  <c r="C8" i="6"/>
  <c r="F8" i="6" s="1"/>
  <c r="L4" i="6"/>
  <c r="C22" i="2"/>
  <c r="C24" i="2" s="1"/>
  <c r="I4" i="6"/>
  <c r="C23" i="2"/>
  <c r="F18" i="5"/>
  <c r="C19" i="5"/>
  <c r="G18" i="5"/>
  <c r="J18" i="5" s="1"/>
  <c r="J18" i="9"/>
  <c r="N16" i="5"/>
  <c r="U15" i="5"/>
  <c r="D20" i="5"/>
  <c r="H19" i="5"/>
  <c r="D91" i="9"/>
  <c r="G90" i="9"/>
  <c r="F90" i="9"/>
  <c r="H19" i="9"/>
  <c r="I19" i="9" s="1"/>
  <c r="D55" i="9"/>
  <c r="G54" i="9"/>
  <c r="F54" i="9"/>
  <c r="H89" i="9"/>
  <c r="I89" i="9" s="1"/>
  <c r="D21" i="9"/>
  <c r="F20" i="9"/>
  <c r="G20" i="9"/>
  <c r="E20" i="5"/>
  <c r="I19" i="5"/>
  <c r="K17" i="5"/>
  <c r="M17" i="5" s="1"/>
  <c r="O17" i="5"/>
  <c r="H53" i="9"/>
  <c r="I53" i="9" s="1"/>
  <c r="J53" i="9" l="1"/>
  <c r="G91" i="9"/>
  <c r="F91" i="9"/>
  <c r="D92" i="9"/>
  <c r="N17" i="5"/>
  <c r="U16" i="5"/>
  <c r="H20" i="9"/>
  <c r="I20" i="9" s="1"/>
  <c r="H54" i="9"/>
  <c r="I54" i="9" s="1"/>
  <c r="J19" i="9"/>
  <c r="J89" i="9"/>
  <c r="D22" i="9"/>
  <c r="F21" i="9"/>
  <c r="G21" i="9"/>
  <c r="H90" i="9"/>
  <c r="I90" i="9" s="1"/>
  <c r="F19" i="5"/>
  <c r="C20" i="5"/>
  <c r="G19" i="5"/>
  <c r="J19" i="5" s="1"/>
  <c r="E21" i="5"/>
  <c r="I20" i="5"/>
  <c r="D56" i="9"/>
  <c r="G55" i="9"/>
  <c r="F55" i="9"/>
  <c r="D21" i="5"/>
  <c r="H20" i="5"/>
  <c r="K18" i="5"/>
  <c r="O18" i="5" s="1"/>
  <c r="J20" i="9" l="1"/>
  <c r="E22" i="5"/>
  <c r="I21" i="5"/>
  <c r="G92" i="9"/>
  <c r="F92" i="9"/>
  <c r="D93" i="9"/>
  <c r="J54" i="9"/>
  <c r="M18" i="5"/>
  <c r="H55" i="9"/>
  <c r="I55" i="9" s="1"/>
  <c r="K19" i="5"/>
  <c r="M19" i="5" s="1"/>
  <c r="O19" i="5"/>
  <c r="F22" i="9"/>
  <c r="G22" i="9"/>
  <c r="D23" i="9"/>
  <c r="D22" i="5"/>
  <c r="H21" i="5"/>
  <c r="H21" i="9"/>
  <c r="I21" i="9" s="1"/>
  <c r="J90" i="9"/>
  <c r="N18" i="5"/>
  <c r="U17" i="5"/>
  <c r="D57" i="9"/>
  <c r="G56" i="9"/>
  <c r="F56" i="9"/>
  <c r="F20" i="5"/>
  <c r="C21" i="5"/>
  <c r="G20" i="5"/>
  <c r="J20" i="5" s="1"/>
  <c r="H91" i="9"/>
  <c r="I91" i="9" s="1"/>
  <c r="J21" i="9" l="1"/>
  <c r="F21" i="5"/>
  <c r="C22" i="5"/>
  <c r="G21" i="5"/>
  <c r="J21" i="5" s="1"/>
  <c r="F57" i="9"/>
  <c r="D58" i="9"/>
  <c r="G57" i="9"/>
  <c r="J91" i="9"/>
  <c r="D23" i="5"/>
  <c r="H22" i="5"/>
  <c r="F93" i="9"/>
  <c r="G93" i="9"/>
  <c r="D94" i="9"/>
  <c r="D24" i="9"/>
  <c r="G23" i="9"/>
  <c r="F23" i="9"/>
  <c r="E23" i="5"/>
  <c r="I22" i="5"/>
  <c r="N19" i="5"/>
  <c r="U18" i="5"/>
  <c r="H22" i="9"/>
  <c r="I22" i="9" s="1"/>
  <c r="J22" i="9" s="1"/>
  <c r="H92" i="9"/>
  <c r="I92" i="9" s="1"/>
  <c r="M20" i="5"/>
  <c r="K20" i="5"/>
  <c r="O20" i="5"/>
  <c r="H56" i="9"/>
  <c r="I56" i="9" s="1"/>
  <c r="J55" i="9"/>
  <c r="H93" i="9" l="1"/>
  <c r="I93" i="9" s="1"/>
  <c r="J92" i="9"/>
  <c r="K21" i="5"/>
  <c r="O21" i="5" s="1"/>
  <c r="J56" i="9"/>
  <c r="N20" i="5"/>
  <c r="U19" i="5"/>
  <c r="H23" i="9"/>
  <c r="I23" i="9" s="1"/>
  <c r="J23" i="9" s="1"/>
  <c r="H57" i="9"/>
  <c r="I57" i="9" s="1"/>
  <c r="F22" i="5"/>
  <c r="C23" i="5"/>
  <c r="G22" i="5"/>
  <c r="J22" i="5" s="1"/>
  <c r="D25" i="9"/>
  <c r="F24" i="9"/>
  <c r="G24" i="9"/>
  <c r="G58" i="9"/>
  <c r="D59" i="9"/>
  <c r="F58" i="9"/>
  <c r="E24" i="5"/>
  <c r="I23" i="5"/>
  <c r="D95" i="9"/>
  <c r="G94" i="9"/>
  <c r="F94" i="9"/>
  <c r="D24" i="5"/>
  <c r="H23" i="5"/>
  <c r="H94" i="9" l="1"/>
  <c r="I94" i="9" s="1"/>
  <c r="F23" i="5"/>
  <c r="C24" i="5"/>
  <c r="G23" i="5"/>
  <c r="J23" i="5" s="1"/>
  <c r="M21" i="5"/>
  <c r="H58" i="9"/>
  <c r="I58" i="9" s="1"/>
  <c r="J57" i="9"/>
  <c r="J93" i="9"/>
  <c r="G95" i="9"/>
  <c r="F95" i="9"/>
  <c r="D96" i="9"/>
  <c r="D60" i="9"/>
  <c r="G59" i="9"/>
  <c r="F59" i="9"/>
  <c r="G25" i="9"/>
  <c r="D26" i="9"/>
  <c r="F25" i="9"/>
  <c r="N21" i="5"/>
  <c r="U20" i="5"/>
  <c r="D25" i="5"/>
  <c r="H24" i="5"/>
  <c r="E25" i="5"/>
  <c r="I24" i="5"/>
  <c r="H24" i="9"/>
  <c r="I24" i="9" s="1"/>
  <c r="J24" i="9" s="1"/>
  <c r="K22" i="5"/>
  <c r="O22" i="5" s="1"/>
  <c r="J58" i="9" l="1"/>
  <c r="G96" i="9"/>
  <c r="F96" i="9"/>
  <c r="D97" i="9"/>
  <c r="M23" i="5"/>
  <c r="K23" i="5"/>
  <c r="O23" i="5"/>
  <c r="I25" i="9"/>
  <c r="J25" i="9" s="1"/>
  <c r="H25" i="9"/>
  <c r="M22" i="5"/>
  <c r="N22" i="5" s="1"/>
  <c r="E26" i="5"/>
  <c r="I25" i="5"/>
  <c r="U21" i="5"/>
  <c r="H59" i="9"/>
  <c r="I59" i="9" s="1"/>
  <c r="J59" i="9" s="1"/>
  <c r="H95" i="9"/>
  <c r="I95" i="9" s="1"/>
  <c r="D26" i="5"/>
  <c r="H25" i="5"/>
  <c r="F26" i="9"/>
  <c r="G26" i="9"/>
  <c r="D27" i="9"/>
  <c r="G60" i="9"/>
  <c r="D61" i="9"/>
  <c r="F60" i="9"/>
  <c r="J94" i="9"/>
  <c r="F24" i="5"/>
  <c r="C25" i="5"/>
  <c r="G24" i="5"/>
  <c r="J24" i="5" s="1"/>
  <c r="J95" i="9" l="1"/>
  <c r="N23" i="5"/>
  <c r="U22" i="5"/>
  <c r="K24" i="5"/>
  <c r="M24" i="5" s="1"/>
  <c r="O24" i="5"/>
  <c r="H26" i="9"/>
  <c r="I26" i="9" s="1"/>
  <c r="J26" i="9" s="1"/>
  <c r="F25" i="5"/>
  <c r="C26" i="5"/>
  <c r="G25" i="5"/>
  <c r="J25" i="5" s="1"/>
  <c r="G61" i="9"/>
  <c r="D62" i="9"/>
  <c r="F61" i="9"/>
  <c r="H60" i="9"/>
  <c r="I60" i="9" s="1"/>
  <c r="J60" i="9" s="1"/>
  <c r="H96" i="9"/>
  <c r="I96" i="9" s="1"/>
  <c r="J96" i="9" s="1"/>
  <c r="E27" i="5"/>
  <c r="I26" i="5"/>
  <c r="F97" i="9"/>
  <c r="D98" i="9"/>
  <c r="G97" i="9"/>
  <c r="D28" i="9"/>
  <c r="G27" i="9"/>
  <c r="F27" i="9"/>
  <c r="D27" i="5"/>
  <c r="H26" i="5"/>
  <c r="H27" i="9" l="1"/>
  <c r="I27" i="9" s="1"/>
  <c r="J27" i="9" s="1"/>
  <c r="D99" i="9"/>
  <c r="G98" i="9"/>
  <c r="F98" i="9"/>
  <c r="M25" i="5"/>
  <c r="K25" i="5"/>
  <c r="O25" i="5"/>
  <c r="G28" i="9"/>
  <c r="D29" i="9"/>
  <c r="F28" i="9"/>
  <c r="F118" i="9" s="1"/>
  <c r="N24" i="5"/>
  <c r="U23" i="5"/>
  <c r="D28" i="5"/>
  <c r="H28" i="5" s="1"/>
  <c r="H27" i="5"/>
  <c r="F62" i="9"/>
  <c r="D63" i="9"/>
  <c r="G62" i="9"/>
  <c r="F26" i="5"/>
  <c r="C27" i="5"/>
  <c r="G26" i="5"/>
  <c r="J26" i="5" s="1"/>
  <c r="H97" i="9"/>
  <c r="I97" i="9" s="1"/>
  <c r="J97" i="9" s="1"/>
  <c r="E28" i="5"/>
  <c r="I28" i="5" s="1"/>
  <c r="I27" i="5"/>
  <c r="H61" i="9"/>
  <c r="I61" i="9" s="1"/>
  <c r="J61" i="9" s="1"/>
  <c r="F27" i="5" l="1"/>
  <c r="C28" i="5"/>
  <c r="G27" i="5"/>
  <c r="J27" i="5" s="1"/>
  <c r="N25" i="5"/>
  <c r="U24" i="5"/>
  <c r="H98" i="9"/>
  <c r="I98" i="9" s="1"/>
  <c r="J98" i="9" s="1"/>
  <c r="G99" i="9"/>
  <c r="F99" i="9"/>
  <c r="D100" i="9"/>
  <c r="K26" i="5"/>
  <c r="M26" i="5" s="1"/>
  <c r="D64" i="9"/>
  <c r="G63" i="9"/>
  <c r="F63" i="9"/>
  <c r="H28" i="9"/>
  <c r="I28" i="9" s="1"/>
  <c r="J28" i="9" s="1"/>
  <c r="H62" i="9"/>
  <c r="I62" i="9" s="1"/>
  <c r="J62" i="9" s="1"/>
  <c r="G29" i="9"/>
  <c r="D30" i="9"/>
  <c r="F29" i="9"/>
  <c r="E118" i="9" l="1"/>
  <c r="H99" i="9"/>
  <c r="I99" i="9" s="1"/>
  <c r="J99" i="9" s="1"/>
  <c r="H63" i="9"/>
  <c r="I63" i="9" s="1"/>
  <c r="J63" i="9" s="1"/>
  <c r="H29" i="9"/>
  <c r="I29" i="9" s="1"/>
  <c r="O26" i="5"/>
  <c r="N26" i="5"/>
  <c r="U25" i="5"/>
  <c r="K27" i="5"/>
  <c r="O27" i="5" s="1"/>
  <c r="F30" i="9"/>
  <c r="D31" i="9"/>
  <c r="G30" i="9"/>
  <c r="G64" i="9"/>
  <c r="D65" i="9"/>
  <c r="F64" i="9"/>
  <c r="F121" i="9" s="1"/>
  <c r="D101" i="9"/>
  <c r="F100" i="9"/>
  <c r="F124" i="9" s="1"/>
  <c r="G100" i="9"/>
  <c r="F28" i="5"/>
  <c r="G28" i="5"/>
  <c r="J28" i="5" s="1"/>
  <c r="J29" i="9" l="1"/>
  <c r="K28" i="5"/>
  <c r="M28" i="5" s="1"/>
  <c r="O28" i="5"/>
  <c r="H30" i="9"/>
  <c r="I30" i="9" s="1"/>
  <c r="D32" i="9"/>
  <c r="G31" i="9"/>
  <c r="F31" i="9"/>
  <c r="M27" i="5"/>
  <c r="H100" i="9"/>
  <c r="I100" i="9" s="1"/>
  <c r="J100" i="9" s="1"/>
  <c r="D66" i="9"/>
  <c r="F65" i="9"/>
  <c r="G65" i="9"/>
  <c r="H64" i="9"/>
  <c r="I64" i="9" s="1"/>
  <c r="J64" i="9" s="1"/>
  <c r="N27" i="5"/>
  <c r="U26" i="5"/>
  <c r="F101" i="9"/>
  <c r="G101" i="9"/>
  <c r="D102" i="9"/>
  <c r="E124" i="9" l="1"/>
  <c r="E121" i="9"/>
  <c r="H31" i="9"/>
  <c r="I31" i="9" s="1"/>
  <c r="F66" i="9"/>
  <c r="D67" i="9"/>
  <c r="G66" i="9"/>
  <c r="J30" i="9"/>
  <c r="D103" i="9"/>
  <c r="G102" i="9"/>
  <c r="F102" i="9"/>
  <c r="H65" i="9"/>
  <c r="I65" i="9" s="1"/>
  <c r="G32" i="9"/>
  <c r="D33" i="9"/>
  <c r="F32" i="9"/>
  <c r="H101" i="9"/>
  <c r="I101" i="9" s="1"/>
  <c r="N28" i="5"/>
  <c r="U27" i="5"/>
  <c r="J101" i="9" l="1"/>
  <c r="D34" i="9"/>
  <c r="F33" i="9"/>
  <c r="G33" i="9"/>
  <c r="H102" i="9"/>
  <c r="I102" i="9" s="1"/>
  <c r="D68" i="9"/>
  <c r="G67" i="9"/>
  <c r="F67" i="9"/>
  <c r="J65" i="9"/>
  <c r="D104" i="9"/>
  <c r="F103" i="9"/>
  <c r="G103" i="9"/>
  <c r="H32" i="9"/>
  <c r="I32" i="9" s="1"/>
  <c r="J31" i="9"/>
  <c r="L8" i="6"/>
  <c r="U28" i="5"/>
  <c r="I8" i="6" s="1"/>
  <c r="H66" i="9"/>
  <c r="I66" i="9" s="1"/>
  <c r="J102" i="9" l="1"/>
  <c r="G104" i="9"/>
  <c r="D105" i="9"/>
  <c r="F104" i="9"/>
  <c r="D69" i="9"/>
  <c r="F68" i="9"/>
  <c r="G68" i="9"/>
  <c r="I33" i="9"/>
  <c r="H33" i="9"/>
  <c r="J32" i="9"/>
  <c r="J66" i="9"/>
  <c r="H103" i="9"/>
  <c r="I103" i="9" s="1"/>
  <c r="F34" i="9"/>
  <c r="D35" i="9"/>
  <c r="G34" i="9"/>
  <c r="H67" i="9"/>
  <c r="I67" i="9" s="1"/>
  <c r="H34" i="9" l="1"/>
  <c r="I34" i="9" s="1"/>
  <c r="D36" i="9"/>
  <c r="G35" i="9"/>
  <c r="F35" i="9"/>
  <c r="J33" i="9"/>
  <c r="H68" i="9"/>
  <c r="I68" i="9" s="1"/>
  <c r="F105" i="9"/>
  <c r="G105" i="9"/>
  <c r="D106" i="9"/>
  <c r="J103" i="9"/>
  <c r="H104" i="9"/>
  <c r="I104" i="9" s="1"/>
  <c r="J67" i="9"/>
  <c r="D70" i="9"/>
  <c r="G69" i="9"/>
  <c r="F69" i="9"/>
  <c r="J104" i="9" l="1"/>
  <c r="J68" i="9"/>
  <c r="D107" i="9"/>
  <c r="G106" i="9"/>
  <c r="F106" i="9"/>
  <c r="H35" i="9"/>
  <c r="I35" i="9" s="1"/>
  <c r="H69" i="9"/>
  <c r="I69" i="9" s="1"/>
  <c r="H105" i="9"/>
  <c r="I105" i="9" s="1"/>
  <c r="J34" i="9"/>
  <c r="D37" i="9"/>
  <c r="F36" i="9"/>
  <c r="G36" i="9"/>
  <c r="F70" i="9"/>
  <c r="G70" i="9"/>
  <c r="D71" i="9"/>
  <c r="J69" i="9" l="1"/>
  <c r="H70" i="9"/>
  <c r="I70" i="9"/>
  <c r="F37" i="9"/>
  <c r="D38" i="9"/>
  <c r="G37" i="9"/>
  <c r="J105" i="9"/>
  <c r="J35" i="9"/>
  <c r="H106" i="9"/>
  <c r="I106" i="9" s="1"/>
  <c r="D72" i="9"/>
  <c r="G71" i="9"/>
  <c r="F71" i="9"/>
  <c r="H36" i="9"/>
  <c r="I36" i="9" s="1"/>
  <c r="G107" i="9"/>
  <c r="F107" i="9"/>
  <c r="D108" i="9"/>
  <c r="J36" i="9" l="1"/>
  <c r="J106" i="9"/>
  <c r="H71" i="9"/>
  <c r="I71" i="9" s="1"/>
  <c r="F72" i="9"/>
  <c r="D73" i="9"/>
  <c r="G72" i="9"/>
  <c r="H37" i="9"/>
  <c r="I37" i="9" s="1"/>
  <c r="J37" i="9" s="1"/>
  <c r="G108" i="9"/>
  <c r="D109" i="9"/>
  <c r="F108" i="9"/>
  <c r="H107" i="9"/>
  <c r="I107" i="9" s="1"/>
  <c r="J107" i="9" s="1"/>
  <c r="F38" i="9"/>
  <c r="G38" i="9"/>
  <c r="D39" i="9"/>
  <c r="J70" i="9"/>
  <c r="H38" i="9" l="1"/>
  <c r="I38" i="9"/>
  <c r="J38" i="9" s="1"/>
  <c r="H108" i="9"/>
  <c r="I108" i="9" s="1"/>
  <c r="J108" i="9" s="1"/>
  <c r="D40" i="9"/>
  <c r="G39" i="9"/>
  <c r="F39" i="9"/>
  <c r="F109" i="9"/>
  <c r="G109" i="9"/>
  <c r="D110" i="9"/>
  <c r="H72" i="9"/>
  <c r="I72" i="9" s="1"/>
  <c r="J71" i="9"/>
  <c r="F73" i="9"/>
  <c r="D74" i="9"/>
  <c r="G73" i="9"/>
  <c r="D75" i="9" l="1"/>
  <c r="G74" i="9"/>
  <c r="F74" i="9"/>
  <c r="H109" i="9"/>
  <c r="I109" i="9" s="1"/>
  <c r="J109" i="9" s="1"/>
  <c r="H39" i="9"/>
  <c r="I39" i="9" s="1"/>
  <c r="J39" i="9" s="1"/>
  <c r="F40" i="9"/>
  <c r="F119" i="9" s="1"/>
  <c r="G40" i="9"/>
  <c r="H73" i="9"/>
  <c r="I73" i="9" s="1"/>
  <c r="J72" i="9"/>
  <c r="D111" i="9"/>
  <c r="G110" i="9"/>
  <c r="F110" i="9"/>
  <c r="J73" i="9" l="1"/>
  <c r="H40" i="9"/>
  <c r="I40" i="9" s="1"/>
  <c r="J40" i="9" s="1"/>
  <c r="E119" i="9" s="1"/>
  <c r="F75" i="9"/>
  <c r="D76" i="9"/>
  <c r="G75" i="9"/>
  <c r="G111" i="9"/>
  <c r="F111" i="9"/>
  <c r="D112" i="9"/>
  <c r="H74" i="9"/>
  <c r="I74" i="9" s="1"/>
  <c r="H110" i="9"/>
  <c r="I110" i="9" s="1"/>
  <c r="J110" i="9" s="1"/>
  <c r="F76" i="9" l="1"/>
  <c r="F122" i="9" s="1"/>
  <c r="G76" i="9"/>
  <c r="J74" i="9"/>
  <c r="H75" i="9"/>
  <c r="I75" i="9" s="1"/>
  <c r="G112" i="9"/>
  <c r="F112" i="9"/>
  <c r="F125" i="9" s="1"/>
  <c r="H111" i="9"/>
  <c r="I111" i="9" s="1"/>
  <c r="J111" i="9" s="1"/>
  <c r="H112" i="9" l="1"/>
  <c r="I112" i="9" s="1"/>
  <c r="C117" i="9"/>
  <c r="C120" i="9"/>
  <c r="M131" i="9"/>
  <c r="O131" i="9"/>
  <c r="N131" i="9"/>
  <c r="C123" i="9"/>
  <c r="M132" i="9"/>
  <c r="C118" i="9"/>
  <c r="C121" i="9"/>
  <c r="N132" i="9"/>
  <c r="O132" i="9"/>
  <c r="C124" i="9"/>
  <c r="C119" i="9"/>
  <c r="M133" i="9"/>
  <c r="O133" i="9"/>
  <c r="C125" i="9"/>
  <c r="N133" i="9"/>
  <c r="C122" i="9"/>
  <c r="J75" i="9"/>
  <c r="H76" i="9"/>
  <c r="I76" i="9" s="1"/>
  <c r="D117" i="9" l="1"/>
  <c r="G117" i="9" s="1"/>
  <c r="D120" i="9"/>
  <c r="G120" i="9" s="1"/>
  <c r="D123" i="9"/>
  <c r="G123" i="9" s="1"/>
  <c r="D118" i="9"/>
  <c r="G118" i="9" s="1"/>
  <c r="D124" i="9"/>
  <c r="G124" i="9" s="1"/>
  <c r="D121" i="9"/>
  <c r="G121" i="9" s="1"/>
  <c r="D122" i="9"/>
  <c r="G122" i="9" s="1"/>
  <c r="D119" i="9"/>
  <c r="G119" i="9" s="1"/>
  <c r="D125" i="9"/>
  <c r="G125" i="9" s="1"/>
  <c r="J112" i="9"/>
  <c r="E125" i="9" s="1"/>
  <c r="J76" i="9"/>
  <c r="E122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100-000001000000}">
      <text>
        <r>
          <rPr>
            <sz val="10"/>
            <rFont val="Lohit Devanagari"/>
            <family val="2"/>
          </rPr>
          <t>الحالة: مدخل من سياق المشروع | مبلغ طلب التمويل المذكور سابقًا في العرض</t>
        </r>
        <r>
          <rPr>
            <sz val="10"/>
            <rFont val="Arial"/>
            <family val="2"/>
          </rPr>
          <t>.</t>
        </r>
      </text>
    </comment>
    <comment ref="C6" authorId="0" shapeId="0" xr:uid="{00000000-0006-0000-0100-000002000000}">
      <text>
        <r>
          <rPr>
            <sz val="10"/>
            <rFont val="Lohit Devanagari"/>
            <family val="2"/>
          </rPr>
          <t>الحالة: من العرض | المنشآت الصغيرة</t>
        </r>
        <r>
          <rPr>
            <sz val="10"/>
            <rFont val="Arial"/>
            <family val="2"/>
          </rPr>
          <t>.</t>
        </r>
      </text>
    </comment>
    <comment ref="C7" authorId="0" shapeId="0" xr:uid="{00000000-0006-0000-0100-000003000000}">
      <text>
        <r>
          <rPr>
            <sz val="10"/>
            <rFont val="Lohit Devanagari"/>
            <family val="2"/>
          </rPr>
          <t>الحالة: من العرض | الشركات المتوسطة</t>
        </r>
        <r>
          <rPr>
            <sz val="10"/>
            <rFont val="Arial"/>
            <family val="2"/>
          </rPr>
          <t>.</t>
        </r>
      </text>
    </comment>
    <comment ref="C8" authorId="0" shapeId="0" xr:uid="{00000000-0006-0000-0100-000004000000}">
      <text>
        <r>
          <rPr>
            <sz val="10"/>
            <rFont val="Lohit Devanagari"/>
            <family val="2"/>
          </rPr>
          <t>الحالة: يحتاج إدخالًا | السعر حسب المتطلبات، لذلك يترك صفرًا حتى يحدد الفريق السعر</t>
        </r>
        <r>
          <rPr>
            <sz val="10"/>
            <rFont val="Arial"/>
            <family val="2"/>
          </rPr>
          <t>.</t>
        </r>
      </text>
    </comment>
    <comment ref="C9" authorId="0" shapeId="0" xr:uid="{00000000-0006-0000-0100-000005000000}">
      <text>
        <r>
          <rPr>
            <sz val="10"/>
            <rFont val="Lohit Devanagari"/>
            <family val="2"/>
          </rPr>
          <t>الحالة: افتراض تخطيطي | عدّل حسب العملاء الحاليين أو التجارب المتوقعة</t>
        </r>
        <r>
          <rPr>
            <sz val="10"/>
            <rFont val="Arial"/>
            <family val="2"/>
          </rPr>
          <t>.</t>
        </r>
      </text>
    </comment>
    <comment ref="C10" authorId="0" shapeId="0" xr:uid="{00000000-0006-0000-0100-000006000000}">
      <text>
        <r>
          <rPr>
            <sz val="10"/>
            <rFont val="Lohit Devanagari"/>
            <family val="2"/>
          </rPr>
          <t>الحالة: افتراض تخطيطي | عدّل حسب العملاء الحاليين أو التجارب المتوقعة</t>
        </r>
        <r>
          <rPr>
            <sz val="10"/>
            <rFont val="Arial"/>
            <family val="2"/>
          </rPr>
          <t>.</t>
        </r>
      </text>
    </comment>
    <comment ref="C11" authorId="0" shapeId="0" xr:uid="{00000000-0006-0000-0100-000007000000}">
      <text>
        <r>
          <rPr>
            <sz val="10"/>
            <rFont val="Lohit Devanagari"/>
            <family val="2"/>
          </rPr>
          <t>الحالة: افتراض تخطيطي | اتركه صفرًا حتى تتوافر عقود المؤسسات</t>
        </r>
        <r>
          <rPr>
            <sz val="10"/>
            <rFont val="Arial"/>
            <family val="2"/>
          </rPr>
          <t>.</t>
        </r>
      </text>
    </comment>
    <comment ref="C12" authorId="0" shapeId="0" xr:uid="{00000000-0006-0000-0100-000008000000}">
      <text>
        <r>
          <rPr>
            <sz val="10"/>
            <rFont val="Lohit Devanagari"/>
            <family val="2"/>
          </rPr>
          <t>الحالة: افتراض تخطيطي | قابل للتغيير إلى خطة المبيعات الواقعية</t>
        </r>
        <r>
          <rPr>
            <sz val="10"/>
            <rFont val="Arial"/>
            <family val="2"/>
          </rPr>
          <t>.</t>
        </r>
      </text>
    </comment>
    <comment ref="C13" authorId="0" shapeId="0" xr:uid="{00000000-0006-0000-0100-000009000000}">
      <text>
        <r>
          <rPr>
            <sz val="10"/>
            <rFont val="Lohit Devanagari"/>
            <family val="2"/>
          </rPr>
          <t>الحالة: افتراض تخطيطي | قابل للتغيير إلى خطة المبيعات الواقعية</t>
        </r>
        <r>
          <rPr>
            <sz val="10"/>
            <rFont val="Arial"/>
            <family val="2"/>
          </rPr>
          <t>.</t>
        </r>
      </text>
    </comment>
    <comment ref="C14" authorId="0" shapeId="0" xr:uid="{00000000-0006-0000-0100-00000A000000}">
      <text>
        <r>
          <rPr>
            <sz val="10"/>
            <rFont val="Lohit Devanagari"/>
            <family val="2"/>
          </rPr>
          <t>الحالة: افتراض تخطيطي | يتطلب سعرًا سنويًا مدخلًا</t>
        </r>
        <r>
          <rPr>
            <sz val="10"/>
            <rFont val="Arial"/>
            <family val="2"/>
          </rPr>
          <t>.</t>
        </r>
      </text>
    </comment>
    <comment ref="C15" authorId="0" shapeId="0" xr:uid="{00000000-0006-0000-0100-00000B000000}">
      <text>
        <r>
          <rPr>
            <sz val="10"/>
            <rFont val="Lohit Devanagari"/>
            <family val="2"/>
          </rPr>
          <t>الحالة: افتراض تخطيطي | عدّل بعد توفر بيانات الاحتفاظ</t>
        </r>
        <r>
          <rPr>
            <sz val="10"/>
            <rFont val="Arial"/>
            <family val="2"/>
          </rPr>
          <t>.</t>
        </r>
      </text>
    </comment>
    <comment ref="C16" authorId="0" shapeId="0" xr:uid="{00000000-0006-0000-0100-00000C000000}">
      <text>
        <r>
          <rPr>
            <sz val="10"/>
            <rFont val="Lohit Devanagari"/>
            <family val="2"/>
          </rPr>
          <t>الحالة: افتراض تخطيطي | تستخدم لحساب هامش المساهمة</t>
        </r>
        <r>
          <rPr>
            <sz val="10"/>
            <rFont val="Arial"/>
            <family val="2"/>
          </rPr>
          <t>.</t>
        </r>
      </text>
    </comment>
    <comment ref="C17" authorId="0" shapeId="0" xr:uid="{00000000-0006-0000-0100-00000D000000}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Lohit Devanagari"/>
            <family val="2"/>
          </rPr>
          <t xml:space="preserve">معايرة نموذج </t>
        </r>
        <r>
          <rPr>
            <sz val="10"/>
            <rFont val="Arial"/>
            <family val="2"/>
          </rPr>
          <t xml:space="preserve">SAEIS </t>
        </r>
        <r>
          <rPr>
            <sz val="10"/>
            <rFont val="Lohit Devanagari"/>
            <family val="2"/>
          </rPr>
          <t xml:space="preserve">بعد مراجعة نقطة التعادل، </t>
        </r>
        <r>
          <rPr>
            <sz val="10"/>
            <rFont val="Arial"/>
            <family val="2"/>
          </rPr>
          <t>15 أغسطس 2026. تكلفة ثابتة تخطيطية شهرية قابلة للتعديل.</t>
        </r>
      </text>
    </comment>
    <comment ref="C18" authorId="0" shapeId="0" xr:uid="{00000000-0006-0000-0100-00000E000000}">
      <text>
        <r>
          <rPr>
            <sz val="10"/>
            <rFont val="Lohit Devanagari"/>
            <family val="2"/>
          </rPr>
          <t>الحالة: اختيار النموذج | الفترة المستخدمة في الرسوم والتدفق التراكمي</t>
        </r>
        <r>
          <rPr>
            <sz val="10"/>
            <rFont val="Arial"/>
            <family val="2"/>
          </rPr>
          <t>.</t>
        </r>
      </text>
    </comment>
    <comment ref="C19" authorId="0" shapeId="0" xr:uid="{00000000-0006-0000-0100-00000F000000}">
      <text>
        <r>
          <rPr>
            <sz val="10"/>
            <rFont val="Lohit Devanagari"/>
            <family val="2"/>
          </rPr>
          <t>الحالة: هدف من العرض | يعرض كهدف أداء وليس نتيجة فعلية</t>
        </r>
        <r>
          <rPr>
            <sz val="10"/>
            <rFont val="Arial"/>
            <family val="2"/>
          </rPr>
          <t>.</t>
        </r>
      </text>
    </comment>
    <comment ref="C20" authorId="0" shapeId="0" xr:uid="{00000000-0006-0000-0100-000010000000}">
      <text>
        <r>
          <rPr>
            <sz val="10"/>
            <rFont val="Lohit Devanagari"/>
            <family val="2"/>
          </rPr>
          <t>الحالة: هدف من العرض | يعرض كهدف أداء وليس نتيجة فعلية</t>
        </r>
        <r>
          <rPr>
            <sz val="10"/>
            <rFont val="Arial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500-000001000000}">
      <text>
        <r>
          <rPr>
            <sz val="10"/>
            <rFont val="Lohit Devanagari"/>
            <family val="2"/>
          </rPr>
          <t xml:space="preserve">الصيغة: التكاليف الثابتة الشهرية ÷ هامش المساهمة. تعتمد على </t>
        </r>
        <r>
          <rPr>
            <sz val="10"/>
            <rFont val="Arial"/>
            <family val="2"/>
          </rPr>
          <t xml:space="preserve">Inputs!C17 </t>
        </r>
        <r>
          <rPr>
            <sz val="10"/>
            <rFont val="Lohit Devanagari"/>
            <family val="2"/>
          </rPr>
          <t>و</t>
        </r>
        <r>
          <rPr>
            <sz val="10"/>
            <rFont val="Arial"/>
            <family val="2"/>
          </rPr>
          <t>Monthly_Model!O16.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6" authorId="0" shapeId="0" xr:uid="{00000000-0006-0000-0700-000001000000}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Lohit Devanagari"/>
            <family val="2"/>
          </rPr>
          <t xml:space="preserve">توجيه المستخدم لتحديث السيناريو الأساسي، </t>
        </r>
        <r>
          <rPr>
            <sz val="10"/>
            <rFont val="Arial"/>
            <family val="2"/>
          </rPr>
          <t>15 أغسطس 2026. قيمة تخطيطية قابلة للتعديل.</t>
        </r>
      </text>
    </comment>
    <comment ref="E6" authorId="0" shapeId="0" xr:uid="{00000000-0006-0000-0700-000002000000}">
      <text>
        <r>
          <rPr>
            <sz val="10"/>
            <rFont val="Arial"/>
            <family val="2"/>
          </rPr>
          <t xml:space="preserve">Source: </t>
        </r>
        <r>
          <rPr>
            <sz val="10"/>
            <rFont val="Lohit Devanagari"/>
            <family val="2"/>
          </rPr>
          <t xml:space="preserve">توجيه المستخدم لتحديث السيناريو الأساسي، </t>
        </r>
        <r>
          <rPr>
            <sz val="10"/>
            <rFont val="Arial"/>
            <family val="2"/>
          </rPr>
          <t>15 أغسطس 2026. قيمة تخطيطية قابلة للتعديل.</t>
        </r>
      </text>
    </comment>
  </commentList>
</comments>
</file>

<file path=xl/sharedStrings.xml><?xml version="1.0" encoding="utf-8"?>
<sst xmlns="http://schemas.openxmlformats.org/spreadsheetml/2006/main" count="442" uniqueCount="217">
  <si>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 xml:space="preserve">دليل النموذج المالي ولوحة </t>
    </r>
    <r>
      <rPr>
        <b/>
        <sz val="22"/>
        <color rgb="FFFFFFFF"/>
        <rFont val="Aptos Display"/>
        <charset val="1"/>
      </rPr>
      <t>Power BI</t>
    </r>
  </si>
  <si>
    <t>نسخة محدثة مبنية على ملف SAEISSmartAuditPitchDeck-Updated.pdf</t>
  </si>
  <si>
    <t>الغرض</t>
  </si>
  <si>
    <t>نموذج تخطيطي قابل للتحرير لتحليل الميزانية، الإيرادات، الأرباح، الانحرافات، نقطة التعادل، وفترة الاسترداد والتدفق التشغيلي التراكمي.</t>
  </si>
  <si>
    <t>البيانات المؤكدة من العرض</t>
  </si>
  <si>
    <t>أسعار الباقات السنوية: 2,500 دولار للباقة الأساسية، 7,500 دولار للباقة الاحترافية، وباقة المؤسسات حسب المتطلبات. كما يذكر العرض أهداف أثر بنسبة 90% لدقة اكتشاف الأخطاء و60% لتقليل وقت التدقيق.</t>
  </si>
  <si>
    <t>البيانات القابلة للتحرير</t>
  </si>
  <si>
    <t>عدد العملاء، سرعة اكتساب العملاء، التكلفة المتغيرة، التكاليف الثابتة، المصروفات الفعلية، وتوزيع الميزانية. القيم الافتراضية في Inputs سيناريو تخطيطي وليست نتائج محققة.</t>
  </si>
  <si>
    <t>طريقة الاستخدام</t>
  </si>
  <si>
    <t>عدّل الخلايا الزرقاء في Inputs وActuals_Monthly وBudget_Variance، ثم افتح PowerBI_Export في Power BI أو انسخه إلى نموذج البيانات.</t>
  </si>
  <si>
    <t>تعريف نقطة التعادل</t>
  </si>
  <si>
    <t>نقطة التعادل الشهرية = التكاليف الثابتة الشهرية ÷ هامش المساهمة. عدد العملاء المكافئ = نقطة التعادل الشهرية ÷ متوسط الإيراد الشهري للعميل.</t>
  </si>
  <si>
    <t>تعريف فترة الاسترداد</t>
  </si>
  <si>
    <t>عدد الأشهر حتى يغطي التدفق التشغيلي التراكمي مبلغ التمويل الأولي. لا يعامل التمويل كمصروف تشغيلي داخل منحنى التدفق.</t>
  </si>
  <si>
    <t>ملاحظة مهمة</t>
  </si>
  <si>
    <t>لا تمثل القيم الافتراضية توقعًا ماليًا نهائيًا. تكلفة 2,625 دولار الشهرية هدف تخطيطي يجب التحقق منه بعقود وتكاليف فعلية قبل مشاركة النتائج مع الممولين.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</si>
  <si>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الافتراضات والمدخلات</t>
    </r>
  </si>
  <si>
    <t>الخلايا الزرقاء قابلة للتعديل. المصادر المعلّمة من العرض، بينما الافتراضات التشغيلية تحتاج إلى تحقق من الفريق.</t>
  </si>
  <si>
    <t>الفئة</t>
  </si>
  <si>
    <t>المتغير</t>
  </si>
  <si>
    <t>القيمة</t>
  </si>
  <si>
    <t>الوحدة</t>
  </si>
  <si>
    <t>الحالة</t>
  </si>
  <si>
    <t>المصدر أو الملاحظة</t>
  </si>
  <si>
    <t>تمويل</t>
  </si>
  <si>
    <t>طلب التمويل</t>
  </si>
  <si>
    <t>دولار</t>
  </si>
  <si>
    <t>مدخل من سياق المشروع</t>
  </si>
  <si>
    <t>مبلغ طلب التمويل المذكور سابقًا في العرض.</t>
  </si>
  <si>
    <t>التسعير</t>
  </si>
  <si>
    <t>الباقة الأساسية سنويًا</t>
  </si>
  <si>
    <t>من العرض</t>
  </si>
  <si>
    <t>المنشآت الصغيرة.</t>
  </si>
  <si>
    <t>الباقة الاحترافية سنويًا</t>
  </si>
  <si>
    <t>الشركات المتوسطة.</t>
  </si>
  <si>
    <t>باقة المؤسسات سنويًا</t>
  </si>
  <si>
    <t>يحتاج إدخالًا</t>
  </si>
  <si>
    <t>السعر حسب المتطلبات، لذلك يترك صفرًا حتى يحدد الفريق السعر.</t>
  </si>
  <si>
    <t>العملاء</t>
  </si>
  <si>
    <t>عملاء أساسيون عند البداية</t>
  </si>
  <si>
    <t>عميل</t>
  </si>
  <si>
    <t>افتراض تخطيطي</t>
  </si>
  <si>
    <t>عدّل حسب العملاء الحاليين أو التجارب المتوقعة.</t>
  </si>
  <si>
    <t>عملاء احترافيون عند البداية</t>
  </si>
  <si>
    <t>عملاء مؤسسات عند البداية</t>
  </si>
  <si>
    <t>اتركه صفرًا حتى تتوافر عقود المؤسسات.</t>
  </si>
  <si>
    <t>النمو</t>
  </si>
  <si>
    <t>عملاء أساسيون جدد شهريًا</t>
  </si>
  <si>
    <t>عميل/شهر</t>
  </si>
  <si>
    <t>قابل للتغيير إلى خطة المبيعات الواقعية.</t>
  </si>
  <si>
    <t>عملاء احترافيون جدد شهريًا</t>
  </si>
  <si>
    <t>عملاء مؤسسات جدد شهريًا</t>
  </si>
  <si>
    <t>يتطلب سعرًا سنويًا مدخلًا.</t>
  </si>
  <si>
    <t>التكلفة</t>
  </si>
  <si>
    <t>معدل الانسحاب الشهري</t>
  </si>
  <si>
    <t>%</t>
  </si>
  <si>
    <t>عدّل بعد توفر بيانات الاحتفاظ.</t>
  </si>
  <si>
    <t>التكلفة المتغيرة كنسبة من الإيراد</t>
  </si>
  <si>
    <t>تستخدم لحساب هامش المساهمة.</t>
  </si>
  <si>
    <t>التكاليف الثابتة الشهرية</t>
  </si>
  <si>
    <t>دولار/شهر</t>
  </si>
  <si>
    <t>هدف تشغيلي تخطيطي مُعايَر: عند إيراد شهر 12 وهامش المساهمة الحاليين، ينتج عنه خسارة تشغيلية قدرها 125 دولارًا فقط.</t>
  </si>
  <si>
    <t>النموذج</t>
  </si>
  <si>
    <t>أفق النموذج</t>
  </si>
  <si>
    <t>شهر</t>
  </si>
  <si>
    <t>اختيار النموذج</t>
  </si>
  <si>
    <t>الفترة المستخدمة في الرسوم والتدفق التراكمي.</t>
  </si>
  <si>
    <t>الأثر</t>
  </si>
  <si>
    <t>هدف دقة اكتشاف الأخطاء</t>
  </si>
  <si>
    <t>هدف من العرض</t>
  </si>
  <si>
    <t>يعرض كهدف أداء وليس نتيجة فعلية.</t>
  </si>
  <si>
    <t>هدف خفض وقت التدقيق</t>
  </si>
  <si>
    <t>معايرة نقطة التعادل</t>
  </si>
  <si>
    <t>إيراد الشهر 12 المرجعي</t>
  </si>
  <si>
    <t>صيغة تحقق</t>
  </si>
  <si>
    <t>يرتبط مباشرة بالنموذج الشهري لتوثيق افتراضات نقطة التعادل.</t>
  </si>
  <si>
    <t>هامش المساهمة المرجعي</t>
  </si>
  <si>
    <t>الربح التشغيلي المرجعي – شهر 12</t>
  </si>
  <si>
    <t>نقطة التعادل الشهرية – تحقق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</si>
  <si>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الميزانية والانحرافات</t>
    </r>
  </si>
  <si>
    <t>أدخل المصروف الفعلي في الخلايا الزرقاء. الانحراف الإيجابي في المصروفات يعني تجاوز الميزانية.</t>
  </si>
  <si>
    <t>البند</t>
  </si>
  <si>
    <t>الميزانية المخططة</t>
  </si>
  <si>
    <t>الفعلي</t>
  </si>
  <si>
    <t>الانحراف</t>
  </si>
  <si>
    <t>الانحراف %</t>
  </si>
  <si>
    <t>المخرج المرتبط</t>
  </si>
  <si>
    <t>بناء المنتج والنسخة التجريبية</t>
  </si>
  <si>
    <r>
      <rPr>
        <sz val="11"/>
        <color theme="1"/>
        <rFont val="Calibri"/>
        <family val="2"/>
        <charset val="1"/>
      </rPr>
      <t xml:space="preserve">MVP </t>
    </r>
    <r>
      <rPr>
        <sz val="11"/>
        <color theme="1"/>
        <rFont val="Lohit Devanagari"/>
        <family val="2"/>
      </rPr>
      <t>قابل للتشغيل</t>
    </r>
  </si>
  <si>
    <t>التكامل والأمان والامتثال التقني</t>
  </si>
  <si>
    <t>موصل ERP وبيئة تجربة آمنة</t>
  </si>
  <si>
    <t>إثبات السوق وتجربة العملاء</t>
  </si>
  <si>
    <t>تجارب عميل ودراسة حالة</t>
  </si>
  <si>
    <t>التشغيل والامتثال الإداري</t>
  </si>
  <si>
    <t>جاهزية تشغيلية وقانونية</t>
  </si>
  <si>
    <t>الإجمالي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</si>
  <si>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المدخلات الفعلية الشهرية</t>
    </r>
  </si>
  <si>
    <t>أدخل القيم الفعلية المتاحة. الخلايا الفارغة لا تُعامل كصفر داخل مقارنة الأداء.</t>
  </si>
  <si>
    <t>الشهر</t>
  </si>
  <si>
    <t>الإيراد الفعلي</t>
  </si>
  <si>
    <t>التكلفة المتغيرة الفعلية</t>
  </si>
  <si>
    <t>التكاليف الثابتة الفعلية</t>
  </si>
  <si>
    <t>مصروفات أخرى فعلية</t>
  </si>
  <si>
    <t>ملاحظات</t>
  </si>
  <si>
    <t>أدخل البيانات الفعلية عند توفرها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</si>
  <si>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النموذج التشغيلي الشهري</t>
    </r>
  </si>
  <si>
    <t>الجزء الأخضر يمثل الخطة/السيناريو، والجزء الأزرق يُسحب من Actuals_Monthly عند إدخال الفعلي.</t>
  </si>
  <si>
    <t>الربع</t>
  </si>
  <si>
    <t>عملاء أساسيون</t>
  </si>
  <si>
    <t>عملاء احترافيون</t>
  </si>
  <si>
    <t>عملاء مؤسسات</t>
  </si>
  <si>
    <t>إجمالي العملاء</t>
  </si>
  <si>
    <t>إيراد أساسي</t>
  </si>
  <si>
    <t>إيراد احترافي</t>
  </si>
  <si>
    <t>إيراد مؤسسات</t>
  </si>
  <si>
    <t>إجمالي الإيراد المخطط</t>
  </si>
  <si>
    <t>التكلفة المتغيرة المخططة</t>
  </si>
  <si>
    <t>التكاليف الثابتة المخططة</t>
  </si>
  <si>
    <t>الربح التشغيلي المخطط</t>
  </si>
  <si>
    <t>التدفق التشغيلي التراكمي المخطط</t>
  </si>
  <si>
    <t>هامش المساهمة</t>
  </si>
  <si>
    <t>الربح الفعلي</t>
  </si>
  <si>
    <t>انحراف الإيراد</t>
  </si>
  <si>
    <t>انحراف الربح</t>
  </si>
  <si>
    <t>حالة الفعلي</t>
  </si>
  <si>
    <t>Payback Flag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</si>
  <si>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لوحة المؤشرات المالية والتنفيذية</t>
    </r>
  </si>
  <si>
    <t>مؤشرات الخطة الحالية، مع حقول مقارنة الفعلي عند إدخال البيانات. الأرقام الحالية سيناريو تخطيطي قابل للتعديل.</t>
  </si>
  <si>
    <t>الإيراد المخطط في الشهر 12</t>
  </si>
  <si>
    <t>الربح التشغيلي في الشهر 12</t>
  </si>
  <si>
    <t>نقطة التعادل الشهرية (ديناميكية)</t>
  </si>
  <si>
    <t>عدد العملاء عند التعادل</t>
  </si>
  <si>
    <t>فترة استرداد الاستثمار</t>
  </si>
  <si>
    <t>التدفق التشغيلي التراكمي في الشهر 24</t>
  </si>
  <si>
    <t>الميزانية مقابل الفعلي</t>
  </si>
  <si>
    <t>أهداف الأثر من العرض</t>
  </si>
  <si>
    <t>المخطط</t>
  </si>
  <si>
    <t>المؤشر</t>
  </si>
  <si>
    <t>الهدف</t>
  </si>
  <si>
    <t>الفجوة</t>
  </si>
  <si>
    <t>دقة اكتشاف الأخطاء</t>
  </si>
  <si>
    <t>خفض وقت التدقيق</t>
  </si>
  <si>
    <t>قراءة سريعة للممول</t>
  </si>
  <si>
    <t>المعايرة الحالية تستخدم تكلفة ثابتة شهرية مستهدفة قدرها 2,625 دولارًا؛ لذلك ينخفض عجز الشهر 12 إلى 125 دولارًا عند إيراد 3,125 دولار وهامش مساهمة 80%. يُعرض التدفق التراكمي كتدفق تشغيلي، بينما التمويل الأولي يعامل كمصدر تمويل لا كمصروف تشغيلي.</t>
  </si>
  <si>
    <t>Month</t>
  </si>
  <si>
    <t>Quarter</t>
  </si>
  <si>
    <t>Basic Clients Plan</t>
  </si>
  <si>
    <t>Professional Clients Plan</t>
  </si>
  <si>
    <t>Enterprise Clients Plan</t>
  </si>
  <si>
    <t>Total Clients Plan</t>
  </si>
  <si>
    <t>Basic Revenue Plan</t>
  </si>
  <si>
    <t>Professional Revenue Plan</t>
  </si>
  <si>
    <t>Enterprise Revenue Plan</t>
  </si>
  <si>
    <t>Total Revenue Plan</t>
  </si>
  <si>
    <t>Variable Cost Plan</t>
  </si>
  <si>
    <t>Fixed Opex Plan</t>
  </si>
  <si>
    <t>Operating Profit Plan</t>
  </si>
  <si>
    <t>Cumulative Operating Cash Plan</t>
  </si>
  <si>
    <t>Contribution Margin Plan</t>
  </si>
  <si>
    <t>Actual Revenue</t>
  </si>
  <si>
    <t>Actual Variable Cost</t>
  </si>
  <si>
    <t>Actual Fixed Opex</t>
  </si>
  <si>
    <t>Actual Operating Profit</t>
  </si>
  <si>
    <t>Revenue Variance</t>
  </si>
  <si>
    <t>Profit Variance</t>
  </si>
  <si>
    <t>Budget Status</t>
  </si>
  <si>
    <t>Target Error Detection</t>
  </si>
  <si>
    <t>Target Audit Time Reduction</t>
  </si>
  <si>
    <t>Q1</t>
  </si>
  <si>
    <t>Q2</t>
  </si>
  <si>
    <t>Q3</t>
  </si>
  <si>
    <t>Q4</t>
  </si>
  <si>
    <t>Q5</t>
  </si>
  <si>
    <t>Q6</t>
  </si>
  <si>
    <t>Q7</t>
  </si>
  <si>
    <t>Q8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</si>
  <si>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تحليل الحساسية</t>
    </r>
  </si>
  <si>
    <t>اختبر تأثير أسعار الباقات والتكلفة المتغيرة وسرعة اكتساب العملاء على الربحية ونقطة التعادل.</t>
  </si>
  <si>
    <t>السيناريو</t>
  </si>
  <si>
    <t>سعر أساسي سنوي</t>
  </si>
  <si>
    <t>سعر احترافي سنوي</t>
  </si>
  <si>
    <t>عملاء أساسيون جدد/شهر</t>
  </si>
  <si>
    <t>عملاء احترافيون جدد/شهر</t>
  </si>
  <si>
    <t>تكلفة متغيرة %</t>
  </si>
  <si>
    <t>نقطة التعادل الشهرية</t>
  </si>
  <si>
    <t>فترة الاسترداد</t>
  </si>
  <si>
    <t>محافظ</t>
  </si>
  <si>
    <t>يرتبط بالحالة التشغيلية في النموذج الأساسي</t>
  </si>
  <si>
    <t>أساسي</t>
  </si>
  <si>
    <t>متفائل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</si>
  <si>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توقع الإيرادات والأرباح لثلاث سنوات</t>
    </r>
  </si>
  <si>
    <r>
      <rPr>
        <i/>
        <sz val="11"/>
        <color rgb="FF64748B"/>
        <rFont val="Lohit Devanagari"/>
        <family val="2"/>
      </rPr>
      <t>سيناريو تخطيطي</t>
    </r>
    <r>
      <rPr>
        <i/>
        <sz val="11"/>
        <color rgb="FF64748B"/>
        <rFont val="Cambria"/>
        <charset val="1"/>
      </rPr>
      <t xml:space="preserve">: </t>
    </r>
    <r>
      <rPr>
        <i/>
        <sz val="11"/>
        <color rgb="FF64748B"/>
        <rFont val="Lohit Devanagari"/>
        <family val="2"/>
      </rPr>
      <t xml:space="preserve">الربحية تربط التكاليف الثابتة بخلية </t>
    </r>
    <r>
      <rPr>
        <i/>
        <sz val="11"/>
        <color rgb="FF64748B"/>
        <rFont val="Cambria"/>
        <charset val="1"/>
      </rPr>
      <t>Inputs</t>
    </r>
    <r>
      <rPr>
        <i/>
        <sz val="11"/>
        <color rgb="FF64748B"/>
        <rFont val="Lohit Devanagari"/>
        <family val="2"/>
      </rPr>
      <t>، والرصد النقدي يبدأ بتمويل المرحلة ثم يتغير بالربح التشغيلي</t>
    </r>
    <r>
      <rPr>
        <i/>
        <sz val="11"/>
        <color rgb="FF64748B"/>
        <rFont val="Cambria"/>
        <charset val="1"/>
      </rPr>
      <t>.</t>
    </r>
  </si>
  <si>
    <t>السنة</t>
  </si>
  <si>
    <t>العملاء الأساسيون</t>
  </si>
  <si>
    <t>العملاء الاحترافيون</t>
  </si>
  <si>
    <t>الإيراد</t>
  </si>
  <si>
    <t>التكلفة المتغيرة</t>
  </si>
  <si>
    <t>الربح التشغيلي</t>
  </si>
  <si>
    <t>الرصيد النقدي التراكمي بعد التمويل</t>
  </si>
  <si>
    <t>ملخص السنوات</t>
  </si>
  <si>
    <t>الرصيد النقدي نهاية السنة</t>
  </si>
  <si>
    <t>العملاء نهاية السنة</t>
  </si>
  <si>
    <t>بيانات الرسم — الإيراد السنوي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</si>
  <si>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تحليل حساسية إيرادات السنة الثالثة</t>
    </r>
  </si>
  <si>
    <r>
      <rPr>
        <i/>
        <sz val="11"/>
        <color rgb="FF64748B"/>
        <rFont val="Lohit Devanagari"/>
        <family val="2"/>
      </rPr>
      <t>التأثير المشترك لتغير السعر وسرعة اكتساب العملاء، مع ثبات باقي الافتراضات التشغيلية</t>
    </r>
    <r>
      <rPr>
        <i/>
        <sz val="11"/>
        <color rgb="FF64748B"/>
        <rFont val="Cambria"/>
        <charset val="1"/>
      </rPr>
      <t>.</t>
    </r>
  </si>
  <si>
    <r>
      <rPr>
        <i/>
        <sz val="10"/>
        <color rgb="FF64748B"/>
        <rFont val="Lohit Devanagari"/>
        <family val="2"/>
      </rPr>
      <t>خريطة الألوان</t>
    </r>
    <r>
      <rPr>
        <i/>
        <sz val="10"/>
        <color rgb="FF64748B"/>
        <rFont val="Cambria"/>
        <charset val="1"/>
      </rPr>
      <t xml:space="preserve">: </t>
    </r>
    <r>
      <rPr>
        <i/>
        <sz val="10"/>
        <color rgb="FF64748B"/>
        <rFont val="Lohit Devanagari"/>
        <family val="2"/>
      </rPr>
      <t xml:space="preserve">الأحمر </t>
    </r>
    <r>
      <rPr>
        <i/>
        <sz val="10"/>
        <color rgb="FF64748B"/>
        <rFont val="Cambria"/>
        <charset val="1"/>
      </rPr>
      <t xml:space="preserve">= </t>
    </r>
    <r>
      <rPr>
        <i/>
        <sz val="10"/>
        <color rgb="FF64748B"/>
        <rFont val="Lohit Devanagari"/>
        <family val="2"/>
      </rPr>
      <t xml:space="preserve">نطاق إيراد أقل، والعنبر </t>
    </r>
    <r>
      <rPr>
        <i/>
        <sz val="10"/>
        <color rgb="FF64748B"/>
        <rFont val="Cambria"/>
        <charset val="1"/>
      </rPr>
      <t xml:space="preserve">= </t>
    </r>
    <r>
      <rPr>
        <i/>
        <sz val="10"/>
        <color rgb="FF64748B"/>
        <rFont val="Lohit Devanagari"/>
        <family val="2"/>
      </rPr>
      <t xml:space="preserve">متوسط، والأخضر </t>
    </r>
    <r>
      <rPr>
        <i/>
        <sz val="10"/>
        <color rgb="FF64748B"/>
        <rFont val="Cambria"/>
        <charset val="1"/>
      </rPr>
      <t xml:space="preserve">= </t>
    </r>
    <r>
      <rPr>
        <i/>
        <sz val="10"/>
        <color rgb="FF64748B"/>
        <rFont val="Lohit Devanagari"/>
        <family val="2"/>
      </rPr>
      <t>نطاق إيراد أعلى</t>
    </r>
    <r>
      <rPr>
        <i/>
        <sz val="10"/>
        <color rgb="FF64748B"/>
        <rFont val="Cambria"/>
        <charset val="1"/>
      </rPr>
      <t xml:space="preserve">. </t>
    </r>
    <r>
      <rPr>
        <i/>
        <sz val="10"/>
        <color rgb="FF64748B"/>
        <rFont val="Lohit Devanagari"/>
        <family val="2"/>
      </rPr>
      <t>القيم تخطيطية وقابلة للتعديل</t>
    </r>
    <r>
      <rPr>
        <i/>
        <sz val="10"/>
        <color rgb="FF64748B"/>
        <rFont val="Cambria"/>
        <charset val="1"/>
      </rPr>
      <t>.</t>
    </r>
  </si>
  <si>
    <r>
      <rPr>
        <b/>
        <sz val="11"/>
        <color rgb="FFFFFFFF"/>
        <rFont val="Lohit Devanagari"/>
        <family val="2"/>
      </rPr>
      <t xml:space="preserve">مضاعف نمو العملاء </t>
    </r>
    <r>
      <rPr>
        <b/>
        <sz val="11"/>
        <color rgb="FFFFFFFF"/>
        <rFont val="Cambria"/>
        <charset val="1"/>
      </rPr>
      <t xml:space="preserve">/ </t>
    </r>
    <r>
      <rPr>
        <b/>
        <sz val="11"/>
        <color rgb="FFFFFFFF"/>
        <rFont val="Lohit Devanagari"/>
        <family val="2"/>
      </rPr>
      <t>مضاعف السعر</t>
    </r>
  </si>
  <si>
    <r>
      <rPr>
        <b/>
        <sz val="11"/>
        <color rgb="FFFFFFFF"/>
        <rFont val="Cambria"/>
        <charset val="1"/>
      </rPr>
      <t xml:space="preserve">0.8x </t>
    </r>
    <r>
      <rPr>
        <b/>
        <sz val="11"/>
        <color rgb="FFFFFFFF"/>
        <rFont val="Lohit Devanagari"/>
        <family val="2"/>
      </rPr>
      <t>السعر</t>
    </r>
  </si>
  <si>
    <r>
      <rPr>
        <b/>
        <sz val="11"/>
        <color rgb="FFFFFFFF"/>
        <rFont val="Cambria"/>
        <charset val="1"/>
      </rPr>
      <t xml:space="preserve">1.0x </t>
    </r>
    <r>
      <rPr>
        <b/>
        <sz val="11"/>
        <color rgb="FFFFFFFF"/>
        <rFont val="Lohit Devanagari"/>
        <family val="2"/>
      </rPr>
      <t>السعر</t>
    </r>
  </si>
  <si>
    <r>
      <rPr>
        <b/>
        <sz val="11"/>
        <color rgb="FFFFFFFF"/>
        <rFont val="Cambria"/>
        <charset val="1"/>
      </rPr>
      <t xml:space="preserve">1.2x </t>
    </r>
    <r>
      <rPr>
        <b/>
        <sz val="11"/>
        <color rgb="FFFFFFFF"/>
        <rFont val="Lohit Devanagari"/>
        <family val="2"/>
      </rPr>
      <t>السعر</t>
    </r>
  </si>
  <si>
    <r>
      <rPr>
        <b/>
        <sz val="11"/>
        <color rgb="FF0B6B52"/>
        <rFont val="Cambria"/>
        <charset val="1"/>
      </rPr>
      <t xml:space="preserve">0.5x </t>
    </r>
    <r>
      <rPr>
        <b/>
        <sz val="11"/>
        <color rgb="FF0B6B52"/>
        <rFont val="Lohit Devanagari"/>
        <family val="2"/>
      </rPr>
      <t>نمو العملاء</t>
    </r>
  </si>
  <si>
    <r>
      <rPr>
        <b/>
        <sz val="11"/>
        <color rgb="FF0B6B52"/>
        <rFont val="Cambria"/>
        <charset val="1"/>
      </rPr>
      <t xml:space="preserve">1.0x </t>
    </r>
    <r>
      <rPr>
        <b/>
        <sz val="11"/>
        <color rgb="FF0B6B52"/>
        <rFont val="Lohit Devanagari"/>
        <family val="2"/>
      </rPr>
      <t>نمو العملاء</t>
    </r>
  </si>
  <si>
    <r>
      <rPr>
        <b/>
        <sz val="11"/>
        <color rgb="FF0B6B52"/>
        <rFont val="Cambria"/>
        <charset val="1"/>
      </rPr>
      <t xml:space="preserve">1.5x </t>
    </r>
    <r>
      <rPr>
        <b/>
        <sz val="11"/>
        <color rgb="FF0B6B52"/>
        <rFont val="Lohit Devanagari"/>
        <family val="2"/>
      </rPr>
      <t>نمو العملاء</t>
    </r>
  </si>
  <si>
    <t>السيناريو الأساسي المرتبط</t>
  </si>
  <si>
    <r>
      <rPr>
        <sz val="11"/>
        <color theme="1"/>
        <rFont val="Lohit Devanagari"/>
        <family val="2"/>
      </rPr>
      <t>عملاء أساسيون جدد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Lohit Devanagari"/>
        <family val="2"/>
      </rPr>
      <t>شهر</t>
    </r>
  </si>
  <si>
    <r>
      <rPr>
        <sz val="11"/>
        <color theme="1"/>
        <rFont val="Lohit Devanagari"/>
        <family val="2"/>
      </rPr>
      <t>عملاء احترافيون جدد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Lohit Devanagari"/>
        <family val="2"/>
      </rPr>
      <t>شهر</t>
    </r>
  </si>
  <si>
    <r>
      <rPr>
        <sz val="11"/>
        <color rgb="FF172033"/>
        <rFont val="Lohit Devanagari"/>
        <family val="2"/>
      </rPr>
      <t>تعليمات الاستخدام</t>
    </r>
    <r>
      <rPr>
        <sz val="11"/>
        <color rgb="FF172033"/>
        <rFont val="Cambria"/>
        <charset val="1"/>
      </rPr>
      <t xml:space="preserve">: </t>
    </r>
    <r>
      <rPr>
        <sz val="11"/>
        <color rgb="FF172033"/>
        <rFont val="Lohit Devanagari"/>
        <family val="2"/>
      </rPr>
      <t xml:space="preserve">تعتمد ورقة </t>
    </r>
    <r>
      <rPr>
        <sz val="11"/>
        <color rgb="FF172033"/>
        <rFont val="Cambria"/>
        <charset val="1"/>
      </rPr>
      <t xml:space="preserve">Three_Year_Forecast </t>
    </r>
    <r>
      <rPr>
        <sz val="11"/>
        <color rgb="FF172033"/>
        <rFont val="Lohit Devanagari"/>
        <family val="2"/>
      </rPr>
      <t xml:space="preserve">على قيم صف </t>
    </r>
    <r>
      <rPr>
        <sz val="11"/>
        <color rgb="FF172033"/>
        <rFont val="Cambria"/>
        <charset val="1"/>
      </rPr>
      <t>«</t>
    </r>
    <r>
      <rPr>
        <sz val="11"/>
        <color rgb="FF172033"/>
        <rFont val="Lohit Devanagari"/>
        <family val="2"/>
      </rPr>
      <t>أساسي</t>
    </r>
    <r>
      <rPr>
        <sz val="11"/>
        <color rgb="FF172033"/>
        <rFont val="Cambria"/>
        <charset val="1"/>
      </rPr>
      <t xml:space="preserve">» </t>
    </r>
    <r>
      <rPr>
        <sz val="11"/>
        <color rgb="FF172033"/>
        <rFont val="Lohit Devanagari"/>
        <family val="2"/>
      </rPr>
      <t xml:space="preserve">في تبويب </t>
    </r>
    <r>
      <rPr>
        <sz val="11"/>
        <color rgb="FF172033"/>
        <rFont val="Cambria"/>
        <charset val="1"/>
      </rPr>
      <t xml:space="preserve">Sensitivity. </t>
    </r>
    <r>
      <rPr>
        <sz val="11"/>
        <color rgb="FF172033"/>
        <rFont val="Lohit Devanagari"/>
        <family val="2"/>
      </rPr>
      <t>عدّل هذا الصف لتحديث خط الإيرادات والأرباح والرصد النقدي تلقائيًا</t>
    </r>
    <r>
      <rPr>
        <sz val="11"/>
        <color rgb="FF172033"/>
        <rFont val="Cambria"/>
        <charset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</si>
</sst>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[Red]&quot;-$&quot;#,##0;\–"/>
    <numFmt numFmtId="165" formatCode="0.0"/>
    <numFmt numFmtId="166" formatCode="0.0%;[Red]\-0.0%;\–"/>
    <numFmt numFmtId="167" formatCode="\$#,##0;&quot;($&quot;#,##0\);\-"/>
    <numFmt numFmtId="168" formatCode="0.0%"/>
    <numFmt numFmtId="169" formatCode="\$#,##0;[Red]&quot;($&quot;#,##0\);\-"/>
  </numFmts>
  <fonts count="40">
    <font>
      <sz val="11"/>
      <color theme="1"/>
      <name val="Calibri"/>
      <family val="2"/>
      <charset val="1"/>
    </font>
    <font>
      <b/>
      <sz val="22"/>
      <color rgb="FFFFFFFF"/>
      <name val="Aptos Display"/>
      <charset val="1"/>
    </font>
    <font>
      <b/>
      <sz val="22"/>
      <color rgb="FFFFFFFF"/>
      <name val="Lohit Devanagari"/>
      <family val="2"/>
    </font>
    <font>
      <i/>
      <sz val="10"/>
      <color rgb="FF64748B"/>
      <name val="Lohit Devanagari"/>
      <family val="2"/>
      <charset val="1"/>
    </font>
    <font>
      <b/>
      <sz val="11"/>
      <color rgb="FF0B6B52"/>
      <name val="Lohit Devanagari"/>
      <family val="2"/>
      <charset val="1"/>
    </font>
    <font>
      <sz val="11"/>
      <color theme="1"/>
      <name val="Lohit Devanagari"/>
      <family val="2"/>
      <charset val="1"/>
    </font>
    <font>
      <b/>
      <sz val="10"/>
      <color rgb="FFFFFFFF"/>
      <name val="Lohit Devanagari"/>
      <family val="2"/>
      <charset val="1"/>
    </font>
    <font>
      <b/>
      <sz val="11"/>
      <color rgb="FF1F4E79"/>
      <name val="Cambria"/>
      <charset val="1"/>
    </font>
    <font>
      <b/>
      <sz val="11"/>
      <color rgb="FF0000FF"/>
      <name val="Cambria"/>
      <charset val="1"/>
    </font>
    <font>
      <b/>
      <sz val="11"/>
      <color rgb="FF008000"/>
      <name val="Cambria"/>
      <charset val="1"/>
    </font>
    <font>
      <b/>
      <sz val="11"/>
      <color rgb="FF000000"/>
      <name val="Cambria"/>
      <charset val="1"/>
    </font>
    <font>
      <sz val="10"/>
      <name val="Lohit Devanagari"/>
      <family val="2"/>
    </font>
    <font>
      <sz val="10"/>
      <name val="Arial"/>
      <family val="2"/>
    </font>
    <font>
      <sz val="11"/>
      <color theme="1"/>
      <name val="Lohit Devanagari"/>
      <family val="2"/>
    </font>
    <font>
      <b/>
      <sz val="11"/>
      <color rgb="FF0B6B52"/>
      <name val="Cambria"/>
      <charset val="1"/>
    </font>
    <font>
      <sz val="11"/>
      <color rgb="FF1F4E79"/>
      <name val="Cambria"/>
      <charset val="1"/>
    </font>
    <font>
      <b/>
      <sz val="11"/>
      <color rgb="FF64748B"/>
      <name val="Lohit Devanagari"/>
      <family val="2"/>
      <charset val="1"/>
    </font>
    <font>
      <b/>
      <sz val="20"/>
      <color rgb="FF0B6B52"/>
      <name val="Cambria"/>
      <charset val="1"/>
    </font>
    <font>
      <b/>
      <sz val="20"/>
      <color rgb="FF168AAD"/>
      <name val="Cambria"/>
      <charset val="1"/>
    </font>
    <font>
      <b/>
      <sz val="20"/>
      <color rgb="FF5B5BD6"/>
      <name val="Cambria"/>
      <charset val="1"/>
    </font>
    <font>
      <b/>
      <sz val="20"/>
      <color rgb="FF008000"/>
      <name val="Cambria"/>
      <charset val="1"/>
    </font>
    <font>
      <b/>
      <sz val="20"/>
      <color rgb="FFC48817"/>
      <name val="Cambria"/>
      <charset val="1"/>
    </font>
    <font>
      <b/>
      <sz val="14"/>
      <color rgb="FF0B6B52"/>
      <name val="Lohit Devanagari"/>
      <family val="2"/>
      <charset val="1"/>
    </font>
    <font>
      <b/>
      <sz val="10"/>
      <color rgb="FFFFFFFF"/>
      <name val="Aptos"/>
      <charset val="1"/>
    </font>
    <font>
      <sz val="10"/>
      <color rgb="FF0000FF"/>
      <name val="Aptos"/>
      <charset val="1"/>
    </font>
    <font>
      <i/>
      <sz val="11"/>
      <color rgb="FF64748B"/>
      <name val="Lohit Devanagari"/>
      <family val="2"/>
    </font>
    <font>
      <i/>
      <sz val="11"/>
      <color rgb="FF64748B"/>
      <name val="Cambria"/>
      <charset val="1"/>
    </font>
    <font>
      <b/>
      <sz val="11"/>
      <color rgb="FFFFFFFF"/>
      <name val="Lohit Devanagari"/>
      <family val="2"/>
    </font>
    <font>
      <sz val="10"/>
      <color rgb="FF008000"/>
      <name val="Aptos"/>
      <charset val="1"/>
    </font>
    <font>
      <sz val="10"/>
      <color rgb="FF000000"/>
      <name val="Aptos"/>
      <charset val="1"/>
    </font>
    <font>
      <b/>
      <sz val="15"/>
      <color rgb="FF0B6B52"/>
      <name val="Lohit Devanagari"/>
      <family val="2"/>
    </font>
    <font>
      <b/>
      <sz val="12"/>
      <color rgb="FF0B6B52"/>
      <name val="Lohit Devanagari"/>
      <family val="2"/>
    </font>
    <font>
      <i/>
      <sz val="10"/>
      <color rgb="FF64748B"/>
      <name val="Lohit Devanagari"/>
      <family val="2"/>
    </font>
    <font>
      <i/>
      <sz val="10"/>
      <color rgb="FF64748B"/>
      <name val="Cambria"/>
      <charset val="1"/>
    </font>
    <font>
      <b/>
      <sz val="11"/>
      <color rgb="FFFFFFFF"/>
      <name val="Cambria"/>
      <charset val="1"/>
    </font>
    <font>
      <b/>
      <sz val="11"/>
      <color rgb="FF0B6B52"/>
      <name val="Lohit Devanagari"/>
      <family val="2"/>
    </font>
    <font>
      <b/>
      <sz val="11"/>
      <color rgb="FF172033"/>
      <name val="Cambria"/>
      <charset val="1"/>
    </font>
    <font>
      <b/>
      <sz val="14"/>
      <color rgb="FF0B6B52"/>
      <name val="Lohit Devanagari"/>
      <family val="2"/>
    </font>
    <font>
      <sz val="11"/>
      <color rgb="FF172033"/>
      <name val="Lohit Devanagari"/>
      <family val="2"/>
    </font>
    <font>
      <sz val="11"/>
      <color rgb="FF172033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101A2E"/>
        <bgColor rgb="FF172033"/>
      </patternFill>
    </fill>
    <fill>
      <patternFill patternType="solid">
        <fgColor rgb="FFDDEEFF"/>
        <bgColor rgb="FFE3F7EE"/>
      </patternFill>
    </fill>
    <fill>
      <patternFill patternType="solid">
        <fgColor rgb="FFF7FAFC"/>
        <bgColor rgb="FFFFFFFF"/>
      </patternFill>
    </fill>
    <fill>
      <patternFill patternType="solid">
        <fgColor rgb="FF0B6B52"/>
        <bgColor rgb="FF1F4E79"/>
      </patternFill>
    </fill>
    <fill>
      <patternFill patternType="solid">
        <fgColor rgb="FFEAF5F0"/>
        <bgColor rgb="FFE3F7EE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1B887"/>
      </bottom>
      <diagonal/>
    </border>
    <border>
      <left/>
      <right/>
      <top/>
      <bottom style="thin">
        <color rgb="FFD8E1E8"/>
      </bottom>
      <diagonal/>
    </border>
    <border>
      <left style="medium">
        <color rgb="FF0B6B52"/>
      </left>
      <right style="thin">
        <color rgb="FFB8DCCB"/>
      </right>
      <top style="thin">
        <color rgb="FFB8DCCB"/>
      </top>
      <bottom style="thin">
        <color rgb="FFB8DCCB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8" fillId="6" borderId="3" xfId="0" applyFont="1" applyFill="1" applyBorder="1" applyAlignment="1">
      <alignment horizontal="right" vertical="center" wrapText="1"/>
    </xf>
    <xf numFmtId="0" fontId="32" fillId="0" borderId="0" xfId="0" applyFont="1" applyBorder="1"/>
    <xf numFmtId="0" fontId="25" fillId="0" borderId="0" xfId="0" applyFont="1" applyBorder="1"/>
    <xf numFmtId="0" fontId="1" fillId="2" borderId="0" xfId="0" applyFont="1" applyFill="1" applyBorder="1"/>
    <xf numFmtId="0" fontId="5" fillId="0" borderId="0" xfId="0" applyFont="1" applyBorder="1" applyAlignment="1">
      <alignment horizontal="right" vertical="top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/>
    <xf numFmtId="0" fontId="1" fillId="2" borderId="0" xfId="0" applyFont="1" applyFill="1" applyBorder="1" applyAlignment="1">
      <alignment horizontal="right" vertical="center"/>
    </xf>
    <xf numFmtId="0" fontId="0" fillId="0" borderId="0" xfId="0" applyAlignment="1"/>
    <xf numFmtId="0" fontId="4" fillId="0" borderId="0" xfId="0" applyFont="1" applyAlignment="1"/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64" fontId="7" fillId="3" borderId="2" xfId="0" applyNumberFormat="1" applyFont="1" applyFill="1" applyBorder="1" applyAlignment="1">
      <alignment vertical="center" wrapText="1"/>
    </xf>
    <xf numFmtId="165" fontId="7" fillId="3" borderId="2" xfId="0" applyNumberFormat="1" applyFont="1" applyFill="1" applyBorder="1" applyAlignment="1">
      <alignment vertical="center" wrapText="1"/>
    </xf>
    <xf numFmtId="166" fontId="7" fillId="3" borderId="2" xfId="0" applyNumberFormat="1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164" fontId="8" fillId="3" borderId="2" xfId="0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right" vertical="top" wrapText="1"/>
    </xf>
    <xf numFmtId="167" fontId="9" fillId="3" borderId="2" xfId="0" applyNumberFormat="1" applyFont="1" applyFill="1" applyBorder="1" applyAlignment="1">
      <alignment vertical="center" wrapText="1"/>
    </xf>
    <xf numFmtId="168" fontId="9" fillId="3" borderId="2" xfId="0" applyNumberFormat="1" applyFont="1" applyFill="1" applyBorder="1" applyAlignment="1">
      <alignment vertical="center" wrapText="1"/>
    </xf>
    <xf numFmtId="167" fontId="10" fillId="3" borderId="2" xfId="0" applyNumberFormat="1" applyFont="1" applyFill="1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66" fontId="0" fillId="0" borderId="2" xfId="0" applyNumberForma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64" fontId="14" fillId="0" borderId="2" xfId="0" applyNumberFormat="1" applyFont="1" applyBorder="1" applyAlignment="1">
      <alignment vertical="center" wrapText="1"/>
    </xf>
    <xf numFmtId="166" fontId="14" fillId="0" borderId="2" xfId="0" applyNumberFormat="1" applyFont="1" applyBorder="1" applyAlignment="1">
      <alignment vertical="center" wrapText="1"/>
    </xf>
    <xf numFmtId="164" fontId="15" fillId="3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vertical="center"/>
    </xf>
    <xf numFmtId="165" fontId="0" fillId="0" borderId="2" xfId="0" applyNumberFormat="1" applyBorder="1" applyAlignment="1">
      <alignment vertical="center" wrapText="1"/>
    </xf>
    <xf numFmtId="0" fontId="16" fillId="4" borderId="0" xfId="0" applyFont="1" applyFill="1" applyAlignment="1">
      <alignment horizontal="center"/>
    </xf>
    <xf numFmtId="164" fontId="17" fillId="4" borderId="0" xfId="0" applyNumberFormat="1" applyFont="1" applyFill="1" applyAlignment="1">
      <alignment horizontal="center"/>
    </xf>
    <xf numFmtId="164" fontId="18" fillId="4" borderId="0" xfId="0" applyNumberFormat="1" applyFont="1" applyFill="1" applyAlignment="1">
      <alignment horizontal="center"/>
    </xf>
    <xf numFmtId="164" fontId="19" fillId="4" borderId="0" xfId="0" applyNumberFormat="1" applyFont="1" applyFill="1" applyAlignment="1">
      <alignment horizontal="center"/>
    </xf>
    <xf numFmtId="166" fontId="17" fillId="4" borderId="0" xfId="0" applyNumberFormat="1" applyFont="1" applyFill="1" applyAlignment="1">
      <alignment horizontal="center"/>
    </xf>
    <xf numFmtId="167" fontId="20" fillId="4" borderId="0" xfId="0" applyNumberFormat="1" applyFont="1" applyFill="1" applyAlignment="1">
      <alignment horizontal="center"/>
    </xf>
    <xf numFmtId="165" fontId="21" fillId="4" borderId="0" xfId="0" applyNumberFormat="1" applyFont="1" applyFill="1" applyAlignment="1">
      <alignment horizontal="center"/>
    </xf>
    <xf numFmtId="0" fontId="22" fillId="0" borderId="0" xfId="0" applyFont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166" fontId="0" fillId="3" borderId="2" xfId="0" applyNumberFormat="1" applyFill="1" applyBorder="1" applyAlignment="1">
      <alignment vertical="center" wrapText="1"/>
    </xf>
    <xf numFmtId="0" fontId="23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5" fontId="24" fillId="0" borderId="2" xfId="0" applyNumberFormat="1" applyFont="1" applyBorder="1" applyAlignment="1">
      <alignment vertical="center" wrapText="1"/>
    </xf>
    <xf numFmtId="0" fontId="27" fillId="5" borderId="0" xfId="0" applyFont="1" applyFill="1" applyAlignment="1">
      <alignment horizontal="center" vertical="center" wrapText="1"/>
    </xf>
    <xf numFmtId="0" fontId="13" fillId="0" borderId="2" xfId="0" applyFont="1" applyBorder="1"/>
    <xf numFmtId="165" fontId="28" fillId="0" borderId="2" xfId="0" applyNumberFormat="1" applyFont="1" applyBorder="1"/>
    <xf numFmtId="165" fontId="29" fillId="0" borderId="2" xfId="0" applyNumberFormat="1" applyFont="1" applyBorder="1"/>
    <xf numFmtId="169" fontId="28" fillId="0" borderId="2" xfId="0" applyNumberFormat="1" applyFont="1" applyBorder="1"/>
    <xf numFmtId="0" fontId="30" fillId="0" borderId="0" xfId="0" applyFont="1"/>
    <xf numFmtId="0" fontId="13" fillId="0" borderId="0" xfId="0" applyFont="1"/>
    <xf numFmtId="169" fontId="29" fillId="0" borderId="0" xfId="0" applyNumberFormat="1" applyFont="1"/>
    <xf numFmtId="165" fontId="29" fillId="0" borderId="0" xfId="0" applyNumberFormat="1" applyFont="1"/>
    <xf numFmtId="168" fontId="28" fillId="0" borderId="0" xfId="0" applyNumberFormat="1" applyFont="1"/>
    <xf numFmtId="0" fontId="31" fillId="0" borderId="0" xfId="0" applyFont="1"/>
    <xf numFmtId="0" fontId="27" fillId="5" borderId="0" xfId="0" applyFont="1" applyFill="1" applyAlignment="1">
      <alignment horizontal="center"/>
    </xf>
    <xf numFmtId="0" fontId="34" fillId="5" borderId="0" xfId="0" applyFont="1" applyFill="1" applyAlignment="1">
      <alignment horizontal="center" vertical="center" wrapText="1"/>
    </xf>
    <xf numFmtId="0" fontId="14" fillId="0" borderId="0" xfId="0" applyFont="1" applyAlignment="1">
      <alignment vertical="center"/>
    </xf>
    <xf numFmtId="169" fontId="36" fillId="0" borderId="0" xfId="0" applyNumberFormat="1" applyFont="1" applyAlignment="1">
      <alignment horizontal="center" vertical="center"/>
    </xf>
    <xf numFmtId="0" fontId="37" fillId="0" borderId="0" xfId="0" applyFont="1"/>
    <xf numFmtId="165" fontId="28" fillId="0" borderId="0" xfId="0" applyNumberFormat="1" applyFont="1"/>
  </cellXfs>
  <cellStyles count="1">
    <cellStyle name="عادي" xfId="0" builtinId="0"/>
  </cellStyles>
  <dxfs count="2">
    <dxf>
      <fill>
        <patternFill>
          <bgColor rgb="FFE3F7EE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AAD"/>
      <rgbColor rgb="FFB3B3B3"/>
      <rgbColor rgb="FF878787"/>
      <rgbColor rgb="FF9999FF"/>
      <rgbColor rgb="FFBE4B48"/>
      <rgbColor rgb="FFF7FAFC"/>
      <rgbColor rgb="FFE3F7EE"/>
      <rgbColor rgb="FF660066"/>
      <rgbColor rgb="FFFF808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B6B52"/>
      <rgbColor rgb="FF0000FF"/>
      <rgbColor rgb="FF00CCFF"/>
      <rgbColor rgb="FFDDEEFF"/>
      <rgbColor rgb="FFEAF5F0"/>
      <rgbColor rgb="FFD8E1E8"/>
      <rgbColor rgb="FFB8DCCB"/>
      <rgbColor rgb="FFFF99CC"/>
      <rgbColor rgb="FFCC99FF"/>
      <rgbColor rgb="FFFCE4E4"/>
      <rgbColor rgb="FF5B5BD6"/>
      <rgbColor rgb="FF33CCCC"/>
      <rgbColor rgb="FF9BBB59"/>
      <rgbColor rgb="FFFFCC00"/>
      <rgbColor rgb="FFC48817"/>
      <rgbColor rgb="FFFF6600"/>
      <rgbColor rgb="FF64748B"/>
      <rgbColor rgb="FF4F81BD"/>
      <rgbColor rgb="FF003366"/>
      <rgbColor rgb="FF11B887"/>
      <rgbColor rgb="FF101A2E"/>
      <rgbColor rgb="FF333300"/>
      <rgbColor rgb="FF993300"/>
      <rgbColor rgb="FFC0504D"/>
      <rgbColor rgb="FF1F4E79"/>
      <rgbColor rgb="FF1720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YE" sz="1800" b="1" strike="noStrike" spc="-1">
                <a:solidFill>
                  <a:srgbClr val="000000"/>
                </a:solidFill>
                <a:latin typeface="Calibri"/>
              </a:rPr>
              <a:t>الإيرادات والأرباح المخططة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Monthly_Model!$J$4</c:f>
              <c:strCache>
                <c:ptCount val="1"/>
                <c:pt idx="0">
                  <c:v>إجمالي الإيراد المخطط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Monthly_Model!$A$5:$A$28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Monthly_Model!$J$5:$J$28</c:f>
              <c:numCache>
                <c:formatCode>\$#,##0;[Red]"-$"#,##0;\–</c:formatCode>
                <c:ptCount val="24"/>
                <c:pt idx="0">
                  <c:v>260.41666666666669</c:v>
                </c:pt>
                <c:pt idx="1">
                  <c:v>520.83333333333337</c:v>
                </c:pt>
                <c:pt idx="2">
                  <c:v>781.25</c:v>
                </c:pt>
                <c:pt idx="3">
                  <c:v>1041.6666666666667</c:v>
                </c:pt>
                <c:pt idx="4">
                  <c:v>1302.0833333333335</c:v>
                </c:pt>
                <c:pt idx="5">
                  <c:v>1562.5</c:v>
                </c:pt>
                <c:pt idx="6">
                  <c:v>1822.9166666666665</c:v>
                </c:pt>
                <c:pt idx="7">
                  <c:v>2083.3333333333335</c:v>
                </c:pt>
                <c:pt idx="8">
                  <c:v>2343.75</c:v>
                </c:pt>
                <c:pt idx="9">
                  <c:v>2604.166666666667</c:v>
                </c:pt>
                <c:pt idx="10">
                  <c:v>2864.583333333333</c:v>
                </c:pt>
                <c:pt idx="11">
                  <c:v>3125</c:v>
                </c:pt>
                <c:pt idx="12">
                  <c:v>3385.416666666667</c:v>
                </c:pt>
                <c:pt idx="13">
                  <c:v>3645.833333333333</c:v>
                </c:pt>
                <c:pt idx="14">
                  <c:v>3906.25</c:v>
                </c:pt>
                <c:pt idx="15">
                  <c:v>4166.666666666667</c:v>
                </c:pt>
                <c:pt idx="16">
                  <c:v>4427.083333333333</c:v>
                </c:pt>
                <c:pt idx="17">
                  <c:v>4687.5</c:v>
                </c:pt>
                <c:pt idx="18">
                  <c:v>4947.916666666667</c:v>
                </c:pt>
                <c:pt idx="19">
                  <c:v>5208.3333333333339</c:v>
                </c:pt>
                <c:pt idx="20">
                  <c:v>5468.75</c:v>
                </c:pt>
                <c:pt idx="21">
                  <c:v>5729.1666666666661</c:v>
                </c:pt>
                <c:pt idx="22">
                  <c:v>5989.5833333333339</c:v>
                </c:pt>
                <c:pt idx="23">
                  <c:v>6250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6D-4584-BACF-30013544A9E2}"/>
            </c:ext>
          </c:extLst>
        </c:ser>
        <c:ser>
          <c:idx val="1"/>
          <c:order val="1"/>
          <c:tx>
            <c:strRef>
              <c:f>Monthly_Model!$M$4</c:f>
              <c:strCache>
                <c:ptCount val="1"/>
                <c:pt idx="0">
                  <c:v>الربح التشغيلي المخطط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Monthly_Model!$A$5:$A$28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Monthly_Model!$M$5:$M$28</c:f>
              <c:numCache>
                <c:formatCode>\$#,##0;[Red]"-$"#,##0;\–</c:formatCode>
                <c:ptCount val="24"/>
                <c:pt idx="0">
                  <c:v>-2416.6666666666665</c:v>
                </c:pt>
                <c:pt idx="1">
                  <c:v>-2208.3333333333335</c:v>
                </c:pt>
                <c:pt idx="2">
                  <c:v>-2000</c:v>
                </c:pt>
                <c:pt idx="3">
                  <c:v>-1791.6666666666665</c:v>
                </c:pt>
                <c:pt idx="4">
                  <c:v>-1583.3333333333333</c:v>
                </c:pt>
                <c:pt idx="5">
                  <c:v>-1375</c:v>
                </c:pt>
                <c:pt idx="6">
                  <c:v>-1166.6666666666667</c:v>
                </c:pt>
                <c:pt idx="7">
                  <c:v>-958.33333333333326</c:v>
                </c:pt>
                <c:pt idx="8">
                  <c:v>-750</c:v>
                </c:pt>
                <c:pt idx="9">
                  <c:v>-541.66666666666652</c:v>
                </c:pt>
                <c:pt idx="10">
                  <c:v>-333.33333333333348</c:v>
                </c:pt>
                <c:pt idx="11">
                  <c:v>-125</c:v>
                </c:pt>
                <c:pt idx="12">
                  <c:v>83.333333333333485</c:v>
                </c:pt>
                <c:pt idx="13">
                  <c:v>291.66666666666652</c:v>
                </c:pt>
                <c:pt idx="14">
                  <c:v>500</c:v>
                </c:pt>
                <c:pt idx="15">
                  <c:v>708.33333333333348</c:v>
                </c:pt>
                <c:pt idx="16">
                  <c:v>916.66666666666652</c:v>
                </c:pt>
                <c:pt idx="17">
                  <c:v>1125</c:v>
                </c:pt>
                <c:pt idx="18">
                  <c:v>1333.3333333333335</c:v>
                </c:pt>
                <c:pt idx="19">
                  <c:v>1541.666666666667</c:v>
                </c:pt>
                <c:pt idx="20">
                  <c:v>1750</c:v>
                </c:pt>
                <c:pt idx="21">
                  <c:v>1958.333333333333</c:v>
                </c:pt>
                <c:pt idx="22">
                  <c:v>2166.666666666667</c:v>
                </c:pt>
                <c:pt idx="23">
                  <c:v>2375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6D-4584-BACF-30013544A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620728"/>
        <c:axId val="6945297"/>
      </c:lineChart>
      <c:catAx>
        <c:axId val="546207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45297"/>
        <c:crosses val="autoZero"/>
        <c:auto val="1"/>
        <c:lblAlgn val="ctr"/>
        <c:lblOffset val="100"/>
        <c:noMultiLvlLbl val="0"/>
      </c:catAx>
      <c:valAx>
        <c:axId val="69452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دولار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-$&quot;#,##0;\–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6207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YE" sz="1800" b="1" strike="noStrike" spc="-1">
                <a:solidFill>
                  <a:srgbClr val="000000"/>
                </a:solidFill>
                <a:latin typeface="Calibri"/>
              </a:rPr>
              <a:t>التدفق التشغيلي التراكمي وفترة الاسترداد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Monthly_Model!$N$4</c:f>
              <c:strCache>
                <c:ptCount val="1"/>
                <c:pt idx="0">
                  <c:v>التدفق التشغيلي التراكمي المخطط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Monthly_Model!$A$5:$A$28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Monthly_Model!$N$5:$N$28</c:f>
              <c:numCache>
                <c:formatCode>\$#,##0;[Red]"-$"#,##0;\–</c:formatCode>
                <c:ptCount val="24"/>
                <c:pt idx="0">
                  <c:v>-2416.6666666666665</c:v>
                </c:pt>
                <c:pt idx="1">
                  <c:v>-4625</c:v>
                </c:pt>
                <c:pt idx="2">
                  <c:v>-6625</c:v>
                </c:pt>
                <c:pt idx="3">
                  <c:v>-8416.6666666666661</c:v>
                </c:pt>
                <c:pt idx="4">
                  <c:v>-10000</c:v>
                </c:pt>
                <c:pt idx="5">
                  <c:v>-11375</c:v>
                </c:pt>
                <c:pt idx="6">
                  <c:v>-12541.666666666666</c:v>
                </c:pt>
                <c:pt idx="7">
                  <c:v>-13500</c:v>
                </c:pt>
                <c:pt idx="8">
                  <c:v>-14250</c:v>
                </c:pt>
                <c:pt idx="9">
                  <c:v>-14791.666666666666</c:v>
                </c:pt>
                <c:pt idx="10">
                  <c:v>-15125</c:v>
                </c:pt>
                <c:pt idx="11">
                  <c:v>-15250</c:v>
                </c:pt>
                <c:pt idx="12">
                  <c:v>-15166.666666666666</c:v>
                </c:pt>
                <c:pt idx="13">
                  <c:v>-14875</c:v>
                </c:pt>
                <c:pt idx="14">
                  <c:v>-14375</c:v>
                </c:pt>
                <c:pt idx="15">
                  <c:v>-13666.666666666666</c:v>
                </c:pt>
                <c:pt idx="16">
                  <c:v>-12750</c:v>
                </c:pt>
                <c:pt idx="17">
                  <c:v>-11625</c:v>
                </c:pt>
                <c:pt idx="18">
                  <c:v>-10291.666666666666</c:v>
                </c:pt>
                <c:pt idx="19">
                  <c:v>-8750</c:v>
                </c:pt>
                <c:pt idx="20">
                  <c:v>-7000</c:v>
                </c:pt>
                <c:pt idx="21">
                  <c:v>-5041.666666666667</c:v>
                </c:pt>
                <c:pt idx="22">
                  <c:v>-2875</c:v>
                </c:pt>
                <c:pt idx="23">
                  <c:v>-500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86-4C16-B609-04AB0D53E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401516"/>
        <c:axId val="16870054"/>
      </c:lineChart>
      <c:catAx>
        <c:axId val="484015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870054"/>
        <c:crosses val="autoZero"/>
        <c:auto val="1"/>
        <c:lblAlgn val="ctr"/>
        <c:lblOffset val="100"/>
        <c:noMultiLvlLbl val="0"/>
      </c:catAx>
      <c:valAx>
        <c:axId val="168700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دولار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-$&quot;#,##0;\–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4015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YE" sz="1800" b="1" strike="noStrike" spc="-1">
                <a:solidFill>
                  <a:srgbClr val="000000"/>
                </a:solidFill>
                <a:latin typeface="Calibri"/>
              </a:rPr>
              <a:t>الإيراد السنوي حسب السيناريو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Three_Year_Forecast!$M$130</c:f>
              <c:strCache>
                <c:ptCount val="1"/>
                <c:pt idx="0">
                  <c:v>محافظ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Three_Year_Forecast!$L$131:$L$133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Three_Year_Forecast!$M$131:$M$133</c:f>
              <c:numCache>
                <c:formatCode>\$#,##0;[Red]"($"#,##0\);\-</c:formatCode>
                <c:ptCount val="3"/>
                <c:pt idx="0">
                  <c:v>7800</c:v>
                </c:pt>
                <c:pt idx="1">
                  <c:v>22200</c:v>
                </c:pt>
                <c:pt idx="2">
                  <c:v>36600.000000000007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9-480D-8207-97A3688A0F2B}"/>
            </c:ext>
          </c:extLst>
        </c:ser>
        <c:ser>
          <c:idx val="1"/>
          <c:order val="1"/>
          <c:tx>
            <c:strRef>
              <c:f>Three_Year_Forecast!$N$130</c:f>
              <c:strCache>
                <c:ptCount val="1"/>
                <c:pt idx="0">
                  <c:v>أساسي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Three_Year_Forecast!$L$131:$L$133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Three_Year_Forecast!$N$131:$N$133</c:f>
              <c:numCache>
                <c:formatCode>\$#,##0;[Red]"($"#,##0\);\-</c:formatCode>
                <c:ptCount val="3"/>
                <c:pt idx="0">
                  <c:v>22750</c:v>
                </c:pt>
                <c:pt idx="1">
                  <c:v>64749.999999999985</c:v>
                </c:pt>
                <c:pt idx="2">
                  <c:v>106750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09-480D-8207-97A3688A0F2B}"/>
            </c:ext>
          </c:extLst>
        </c:ser>
        <c:ser>
          <c:idx val="2"/>
          <c:order val="2"/>
          <c:tx>
            <c:strRef>
              <c:f>Three_Year_Forecast!$O$130</c:f>
              <c:strCache>
                <c:ptCount val="1"/>
                <c:pt idx="0">
                  <c:v>متفائل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Three_Year_Forecast!$L$131:$L$133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Three_Year_Forecast!$O$131:$O$133</c:f>
              <c:numCache>
                <c:formatCode>\$#,##0;[Red]"($"#,##0\);\-</c:formatCode>
                <c:ptCount val="3"/>
                <c:pt idx="0">
                  <c:v>35750</c:v>
                </c:pt>
                <c:pt idx="1">
                  <c:v>101750.00000000001</c:v>
                </c:pt>
                <c:pt idx="2">
                  <c:v>167750.00000000006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09-480D-8207-97A3688A0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80879150"/>
        <c:axId val="23732129"/>
      </c:barChart>
      <c:catAx>
        <c:axId val="808791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السنة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732129"/>
        <c:crosses val="autoZero"/>
        <c:auto val="1"/>
        <c:lblAlgn val="ctr"/>
        <c:lblOffset val="100"/>
        <c:noMultiLvlLbl val="0"/>
      </c:catAx>
      <c:valAx>
        <c:axId val="237321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دولار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($&quot;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8791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YE" sz="1800" b="1" strike="noStrike" spc="-1">
                <a:solidFill>
                  <a:srgbClr val="000000"/>
                </a:solidFill>
                <a:latin typeface="Calibri"/>
              </a:rPr>
              <a:t>الرصيد النقدي التراكمي بعد التمويل: السيناريو المحافظ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Three_Year_Forecast!$J$4</c:f>
              <c:strCache>
                <c:ptCount val="1"/>
                <c:pt idx="0">
                  <c:v>الرصيد النقدي التراكمي بعد التمويل</c:v>
                </c:pt>
              </c:strCache>
            </c:strRef>
          </c:tx>
          <c:spPr>
            <a:ln w="38160">
              <a:solidFill>
                <a:srgbClr val="168AAD"/>
              </a:solidFill>
              <a:round/>
            </a:ln>
          </c:spPr>
          <c:marker>
            <c:symbol val="circle"/>
            <c:size val="6"/>
            <c:spPr>
              <a:solidFill>
                <a:srgbClr val="168AA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Three_Year_Forecast!$B$5:$B$40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Three_Year_Forecast!$J$5:$J$40</c:f>
              <c:numCache>
                <c:formatCode>\$#,##0;[Red]"($"#,##0\);\-</c:formatCode>
                <c:ptCount val="36"/>
                <c:pt idx="0">
                  <c:v>23945</c:v>
                </c:pt>
                <c:pt idx="1">
                  <c:v>21460</c:v>
                </c:pt>
                <c:pt idx="2">
                  <c:v>19045</c:v>
                </c:pt>
                <c:pt idx="3">
                  <c:v>16700</c:v>
                </c:pt>
                <c:pt idx="4">
                  <c:v>14425</c:v>
                </c:pt>
                <c:pt idx="5">
                  <c:v>12220</c:v>
                </c:pt>
                <c:pt idx="6">
                  <c:v>10085</c:v>
                </c:pt>
                <c:pt idx="7">
                  <c:v>8020</c:v>
                </c:pt>
                <c:pt idx="8">
                  <c:v>6025</c:v>
                </c:pt>
                <c:pt idx="9">
                  <c:v>4100</c:v>
                </c:pt>
                <c:pt idx="10">
                  <c:v>2245</c:v>
                </c:pt>
                <c:pt idx="11">
                  <c:v>460</c:v>
                </c:pt>
                <c:pt idx="12">
                  <c:v>-1255</c:v>
                </c:pt>
                <c:pt idx="13">
                  <c:v>-2900</c:v>
                </c:pt>
                <c:pt idx="14">
                  <c:v>-4475</c:v>
                </c:pt>
                <c:pt idx="15">
                  <c:v>-5980</c:v>
                </c:pt>
                <c:pt idx="16">
                  <c:v>-7415</c:v>
                </c:pt>
                <c:pt idx="17">
                  <c:v>-8780</c:v>
                </c:pt>
                <c:pt idx="18">
                  <c:v>-10075</c:v>
                </c:pt>
                <c:pt idx="19">
                  <c:v>-11300</c:v>
                </c:pt>
                <c:pt idx="20">
                  <c:v>-12455</c:v>
                </c:pt>
                <c:pt idx="21">
                  <c:v>-13540</c:v>
                </c:pt>
                <c:pt idx="22">
                  <c:v>-14555</c:v>
                </c:pt>
                <c:pt idx="23">
                  <c:v>-15500</c:v>
                </c:pt>
                <c:pt idx="24">
                  <c:v>-16375</c:v>
                </c:pt>
                <c:pt idx="25">
                  <c:v>-17180</c:v>
                </c:pt>
                <c:pt idx="26">
                  <c:v>-17915</c:v>
                </c:pt>
                <c:pt idx="27">
                  <c:v>-18580</c:v>
                </c:pt>
                <c:pt idx="28">
                  <c:v>-19175</c:v>
                </c:pt>
                <c:pt idx="29">
                  <c:v>-19700</c:v>
                </c:pt>
                <c:pt idx="30">
                  <c:v>-20155</c:v>
                </c:pt>
                <c:pt idx="31">
                  <c:v>-20540</c:v>
                </c:pt>
                <c:pt idx="32">
                  <c:v>-20855</c:v>
                </c:pt>
                <c:pt idx="33">
                  <c:v>-21100</c:v>
                </c:pt>
                <c:pt idx="34">
                  <c:v>-21275</c:v>
                </c:pt>
                <c:pt idx="35">
                  <c:v>-21380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DE-4F33-B8EE-28B7D57FE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591854"/>
        <c:axId val="88557816"/>
      </c:lineChart>
      <c:catAx>
        <c:axId val="75918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557816"/>
        <c:crosses val="autoZero"/>
        <c:auto val="1"/>
        <c:lblAlgn val="ctr"/>
        <c:lblOffset val="100"/>
        <c:noMultiLvlLbl val="0"/>
      </c:catAx>
      <c:valAx>
        <c:axId val="88557816"/>
        <c:scaling>
          <c:orientation val="minMax"/>
          <c:max val="25000"/>
          <c:min val="-2500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دولار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($&quot;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918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81360</xdr:rowOff>
    </xdr:from>
    <xdr:to>
      <xdr:col>5</xdr:col>
      <xdr:colOff>235800</xdr:colOff>
      <xdr:row>34</xdr:row>
      <xdr:rowOff>121320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81360</xdr:rowOff>
    </xdr:from>
    <xdr:to>
      <xdr:col>11</xdr:col>
      <xdr:colOff>235800</xdr:colOff>
      <xdr:row>34</xdr:row>
      <xdr:rowOff>121320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164520</xdr:rowOff>
    </xdr:from>
    <xdr:to>
      <xdr:col>15</xdr:col>
      <xdr:colOff>358920</xdr:colOff>
      <xdr:row>15</xdr:row>
      <xdr:rowOff>142920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16</xdr:row>
      <xdr:rowOff>120600</xdr:rowOff>
    </xdr:from>
    <xdr:to>
      <xdr:col>15</xdr:col>
      <xdr:colOff>358920</xdr:colOff>
      <xdr:row>31</xdr:row>
      <xdr:rowOff>142560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EIS_Export" displayName="SAEIS_Export" ref="A1:X25" totalsRowShown="0">
  <autoFilter ref="A1:X25" xr:uid="{00000000-0009-0000-0100-000001000000}"/>
  <tableColumns count="24">
    <tableColumn id="1" xr3:uid="{00000000-0010-0000-0000-000001000000}" name="Month"/>
    <tableColumn id="2" xr3:uid="{00000000-0010-0000-0000-000002000000}" name="Quarter"/>
    <tableColumn id="3" xr3:uid="{00000000-0010-0000-0000-000003000000}" name="Basic Clients Plan"/>
    <tableColumn id="4" xr3:uid="{00000000-0010-0000-0000-000004000000}" name="Professional Clients Plan"/>
    <tableColumn id="5" xr3:uid="{00000000-0010-0000-0000-000005000000}" name="Enterprise Clients Plan"/>
    <tableColumn id="6" xr3:uid="{00000000-0010-0000-0000-000006000000}" name="Total Clients Plan"/>
    <tableColumn id="7" xr3:uid="{00000000-0010-0000-0000-000007000000}" name="Basic Revenue Plan"/>
    <tableColumn id="8" xr3:uid="{00000000-0010-0000-0000-000008000000}" name="Professional Revenue Plan"/>
    <tableColumn id="9" xr3:uid="{00000000-0010-0000-0000-000009000000}" name="Enterprise Revenue Plan"/>
    <tableColumn id="10" xr3:uid="{00000000-0010-0000-0000-00000A000000}" name="Total Revenue Plan"/>
    <tableColumn id="11" xr3:uid="{00000000-0010-0000-0000-00000B000000}" name="Variable Cost Plan"/>
    <tableColumn id="12" xr3:uid="{00000000-0010-0000-0000-00000C000000}" name="Fixed Opex Plan"/>
    <tableColumn id="13" xr3:uid="{00000000-0010-0000-0000-00000D000000}" name="Operating Profit Plan"/>
    <tableColumn id="14" xr3:uid="{00000000-0010-0000-0000-00000E000000}" name="Cumulative Operating Cash Plan"/>
    <tableColumn id="15" xr3:uid="{00000000-0010-0000-0000-00000F000000}" name="Contribution Margin Plan"/>
    <tableColumn id="16" xr3:uid="{00000000-0010-0000-0000-000010000000}" name="Actual Revenue"/>
    <tableColumn id="17" xr3:uid="{00000000-0010-0000-0000-000011000000}" name="Actual Variable Cost"/>
    <tableColumn id="18" xr3:uid="{00000000-0010-0000-0000-000012000000}" name="Actual Fixed Opex"/>
    <tableColumn id="19" xr3:uid="{00000000-0010-0000-0000-000013000000}" name="Actual Operating Profit"/>
    <tableColumn id="20" xr3:uid="{00000000-0010-0000-0000-000014000000}" name="Revenue Variance"/>
    <tableColumn id="21" xr3:uid="{00000000-0010-0000-0000-000015000000}" name="Profit Variance"/>
    <tableColumn id="22" xr3:uid="{00000000-0010-0000-0000-000016000000}" name="Budget Status"/>
    <tableColumn id="23" xr3:uid="{00000000-0010-0000-0000-000017000000}" name="Target Error Detection"/>
    <tableColumn id="24" xr3:uid="{00000000-0010-0000-0000-000018000000}" name="Target Audit Time Reduct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hreeYearForecast" displayName="ThreeYearForecast" ref="A4:J112" totalsRowShown="0">
  <autoFilter ref="A4:J112" xr:uid="{00000000-0009-0000-0100-000002000000}"/>
  <tableColumns count="10">
    <tableColumn id="1" xr3:uid="{00000000-0010-0000-0100-000001000000}" name="السيناريو"/>
    <tableColumn id="2" xr3:uid="{00000000-0010-0000-0100-000002000000}" name="الشهر"/>
    <tableColumn id="3" xr3:uid="{00000000-0010-0000-0100-000003000000}" name="السنة"/>
    <tableColumn id="4" xr3:uid="{00000000-0010-0000-0100-000004000000}" name="العملاء الأساسيون"/>
    <tableColumn id="5" xr3:uid="{00000000-0010-0000-0100-000005000000}" name="العملاء الاحترافيون"/>
    <tableColumn id="6" xr3:uid="{00000000-0010-0000-0100-000006000000}" name="إجمالي العملاء"/>
    <tableColumn id="7" xr3:uid="{00000000-0010-0000-0100-000007000000}" name="الإيراد"/>
    <tableColumn id="8" xr3:uid="{00000000-0010-0000-0100-000008000000}" name="التكلفة المتغيرة"/>
    <tableColumn id="9" xr3:uid="{00000000-0010-0000-0100-000009000000}" name="الربح التشغيلي"/>
    <tableColumn id="10" xr3:uid="{00000000-0010-0000-0100-00000A000000}" name="الرصيد النقدي التراكمي بعد التمويل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1" width="25" style="9" customWidth="1"/>
    <col min="2" max="2" width="115" style="9" customWidth="1"/>
  </cols>
  <sheetData>
    <row r="1" spans="1:8" ht="33.75" customHeight="1">
      <c r="A1" s="8" t="s">
        <v>0</v>
      </c>
      <c r="B1" s="8"/>
      <c r="C1" s="8"/>
      <c r="D1" s="8"/>
      <c r="E1" s="8"/>
      <c r="F1" s="8"/>
      <c r="G1" s="8"/>
      <c r="H1" s="8"/>
    </row>
    <row r="2" spans="1:8" ht="21.75" customHeight="1">
      <c r="A2" s="7" t="s">
        <v>1</v>
      </c>
      <c r="B2" s="7"/>
      <c r="C2" s="7"/>
      <c r="D2" s="7"/>
      <c r="E2" s="7"/>
      <c r="F2" s="7"/>
      <c r="G2" s="7"/>
      <c r="H2" s="7"/>
    </row>
    <row r="4" spans="1:8" ht="42" customHeight="1">
      <c r="A4" s="10" t="s">
        <v>2</v>
      </c>
      <c r="B4" s="11" t="s">
        <v>3</v>
      </c>
    </row>
    <row r="5" spans="1:8" ht="42" customHeight="1">
      <c r="A5" s="10" t="s">
        <v>4</v>
      </c>
      <c r="B5" s="11" t="s">
        <v>5</v>
      </c>
    </row>
    <row r="6" spans="1:8" ht="42" customHeight="1">
      <c r="A6" s="10" t="s">
        <v>6</v>
      </c>
      <c r="B6" s="11" t="s">
        <v>7</v>
      </c>
    </row>
    <row r="7" spans="1:8" ht="42" customHeight="1">
      <c r="A7" s="10" t="s">
        <v>8</v>
      </c>
      <c r="B7" s="11" t="s">
        <v>9</v>
      </c>
    </row>
    <row r="8" spans="1:8" ht="42" customHeight="1">
      <c r="A8" s="10" t="s">
        <v>10</v>
      </c>
      <c r="B8" s="11" t="s">
        <v>11</v>
      </c>
    </row>
    <row r="9" spans="1:8" ht="42" customHeight="1">
      <c r="A9" s="10" t="s">
        <v>12</v>
      </c>
      <c r="B9" s="11" t="s">
        <v>13</v>
      </c>
    </row>
    <row r="10" spans="1:8" ht="42" customHeight="1">
      <c r="A10" s="10" t="s">
        <v>14</v>
      </c>
      <c r="B10" s="11" t="s">
        <v>15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1" width="14" style="9" customWidth="1"/>
    <col min="2" max="2" width="34" style="9" customWidth="1"/>
    <col min="3" max="3" width="16" style="9" customWidth="1"/>
    <col min="4" max="4" width="15" style="9" customWidth="1"/>
    <col min="5" max="5" width="22" style="9" customWidth="1"/>
    <col min="6" max="6" width="65" style="9" customWidth="1"/>
  </cols>
  <sheetData>
    <row r="1" spans="1:8" ht="33.75" customHeight="1">
      <c r="A1" s="8" t="s">
        <v>16</v>
      </c>
      <c r="B1" s="8"/>
      <c r="C1" s="8"/>
      <c r="D1" s="8"/>
      <c r="E1" s="8"/>
      <c r="F1" s="8"/>
      <c r="G1" s="8"/>
      <c r="H1" s="8"/>
    </row>
    <row r="2" spans="1:8" ht="21.75" customHeight="1">
      <c r="A2" s="7" t="s">
        <v>17</v>
      </c>
      <c r="B2" s="7"/>
      <c r="C2" s="7"/>
      <c r="D2" s="7"/>
      <c r="E2" s="7"/>
      <c r="F2" s="7"/>
      <c r="G2" s="7"/>
      <c r="H2" s="7"/>
    </row>
    <row r="4" spans="1:8" ht="31.5" customHeight="1">
      <c r="A4" s="12" t="s">
        <v>18</v>
      </c>
      <c r="B4" s="12" t="s">
        <v>19</v>
      </c>
      <c r="C4" s="12" t="s">
        <v>20</v>
      </c>
      <c r="D4" s="12" t="s">
        <v>21</v>
      </c>
      <c r="E4" s="12" t="s">
        <v>22</v>
      </c>
      <c r="F4" s="12" t="s">
        <v>23</v>
      </c>
    </row>
    <row r="5" spans="1:8" ht="24.75" customHeight="1">
      <c r="A5" s="13" t="s">
        <v>24</v>
      </c>
      <c r="B5" s="13" t="s">
        <v>25</v>
      </c>
      <c r="C5" s="14">
        <v>26500</v>
      </c>
      <c r="D5" s="13" t="s">
        <v>26</v>
      </c>
      <c r="E5" s="13" t="s">
        <v>27</v>
      </c>
      <c r="F5" s="13" t="s">
        <v>28</v>
      </c>
    </row>
    <row r="6" spans="1:8" ht="24.75" customHeight="1">
      <c r="A6" s="13" t="s">
        <v>29</v>
      </c>
      <c r="B6" s="13" t="s">
        <v>30</v>
      </c>
      <c r="C6" s="14">
        <v>2500</v>
      </c>
      <c r="D6" s="13" t="s">
        <v>26</v>
      </c>
      <c r="E6" s="13" t="s">
        <v>31</v>
      </c>
      <c r="F6" s="13" t="s">
        <v>32</v>
      </c>
    </row>
    <row r="7" spans="1:8" ht="24.75" customHeight="1">
      <c r="A7" s="13" t="s">
        <v>29</v>
      </c>
      <c r="B7" s="13" t="s">
        <v>33</v>
      </c>
      <c r="C7" s="14">
        <v>7500</v>
      </c>
      <c r="D7" s="13" t="s">
        <v>26</v>
      </c>
      <c r="E7" s="13" t="s">
        <v>31</v>
      </c>
      <c r="F7" s="13" t="s">
        <v>34</v>
      </c>
    </row>
    <row r="8" spans="1:8" ht="24.75" customHeight="1">
      <c r="A8" s="13" t="s">
        <v>29</v>
      </c>
      <c r="B8" s="13" t="s">
        <v>35</v>
      </c>
      <c r="C8" s="14">
        <v>0</v>
      </c>
      <c r="D8" s="13" t="s">
        <v>26</v>
      </c>
      <c r="E8" s="13" t="s">
        <v>36</v>
      </c>
      <c r="F8" s="13" t="s">
        <v>37</v>
      </c>
    </row>
    <row r="9" spans="1:8" ht="24.75" customHeight="1">
      <c r="A9" s="13" t="s">
        <v>38</v>
      </c>
      <c r="B9" s="13" t="s">
        <v>39</v>
      </c>
      <c r="C9" s="15">
        <v>0</v>
      </c>
      <c r="D9" s="13" t="s">
        <v>40</v>
      </c>
      <c r="E9" s="13" t="s">
        <v>41</v>
      </c>
      <c r="F9" s="13" t="s">
        <v>42</v>
      </c>
    </row>
    <row r="10" spans="1:8" ht="24.75" customHeight="1">
      <c r="A10" s="13" t="s">
        <v>38</v>
      </c>
      <c r="B10" s="13" t="s">
        <v>43</v>
      </c>
      <c r="C10" s="15">
        <v>0</v>
      </c>
      <c r="D10" s="13" t="s">
        <v>40</v>
      </c>
      <c r="E10" s="13" t="s">
        <v>41</v>
      </c>
      <c r="F10" s="13" t="s">
        <v>42</v>
      </c>
    </row>
    <row r="11" spans="1:8" ht="24.75" customHeight="1">
      <c r="A11" s="13" t="s">
        <v>38</v>
      </c>
      <c r="B11" s="13" t="s">
        <v>44</v>
      </c>
      <c r="C11" s="15">
        <v>0</v>
      </c>
      <c r="D11" s="13" t="s">
        <v>40</v>
      </c>
      <c r="E11" s="13" t="s">
        <v>41</v>
      </c>
      <c r="F11" s="13" t="s">
        <v>45</v>
      </c>
    </row>
    <row r="12" spans="1:8" ht="24.75" customHeight="1">
      <c r="A12" s="13" t="s">
        <v>46</v>
      </c>
      <c r="B12" s="13" t="s">
        <v>47</v>
      </c>
      <c r="C12" s="15">
        <v>0.5</v>
      </c>
      <c r="D12" s="13" t="s">
        <v>48</v>
      </c>
      <c r="E12" s="13" t="s">
        <v>41</v>
      </c>
      <c r="F12" s="13" t="s">
        <v>49</v>
      </c>
    </row>
    <row r="13" spans="1:8" ht="24.75" customHeight="1">
      <c r="A13" s="13" t="s">
        <v>46</v>
      </c>
      <c r="B13" s="13" t="s">
        <v>50</v>
      </c>
      <c r="C13" s="15">
        <v>0.25</v>
      </c>
      <c r="D13" s="13" t="s">
        <v>48</v>
      </c>
      <c r="E13" s="13" t="s">
        <v>41</v>
      </c>
      <c r="F13" s="13" t="s">
        <v>49</v>
      </c>
    </row>
    <row r="14" spans="1:8" ht="24.75" customHeight="1">
      <c r="A14" s="13" t="s">
        <v>46</v>
      </c>
      <c r="B14" s="13" t="s">
        <v>51</v>
      </c>
      <c r="C14" s="15">
        <v>0</v>
      </c>
      <c r="D14" s="13" t="s">
        <v>48</v>
      </c>
      <c r="E14" s="13" t="s">
        <v>41</v>
      </c>
      <c r="F14" s="13" t="s">
        <v>52</v>
      </c>
    </row>
    <row r="15" spans="1:8" ht="24.75" customHeight="1">
      <c r="A15" s="13" t="s">
        <v>53</v>
      </c>
      <c r="B15" s="13" t="s">
        <v>54</v>
      </c>
      <c r="C15" s="16">
        <v>0</v>
      </c>
      <c r="D15" s="17" t="s">
        <v>55</v>
      </c>
      <c r="E15" s="13" t="s">
        <v>41</v>
      </c>
      <c r="F15" s="13" t="s">
        <v>56</v>
      </c>
    </row>
    <row r="16" spans="1:8" ht="24.75" customHeight="1">
      <c r="A16" s="13" t="s">
        <v>53</v>
      </c>
      <c r="B16" s="13" t="s">
        <v>57</v>
      </c>
      <c r="C16" s="16">
        <v>0.2</v>
      </c>
      <c r="D16" s="17" t="s">
        <v>55</v>
      </c>
      <c r="E16" s="13" t="s">
        <v>41</v>
      </c>
      <c r="F16" s="13" t="s">
        <v>58</v>
      </c>
    </row>
    <row r="17" spans="1:6" ht="24.75" customHeight="1">
      <c r="A17" s="13" t="s">
        <v>53</v>
      </c>
      <c r="B17" s="13" t="s">
        <v>59</v>
      </c>
      <c r="C17" s="18">
        <v>2625</v>
      </c>
      <c r="D17" s="13" t="s">
        <v>60</v>
      </c>
      <c r="E17" s="13" t="s">
        <v>41</v>
      </c>
      <c r="F17" s="19" t="s">
        <v>61</v>
      </c>
    </row>
    <row r="18" spans="1:6" ht="24.75" customHeight="1">
      <c r="A18" s="13" t="s">
        <v>62</v>
      </c>
      <c r="B18" s="13" t="s">
        <v>63</v>
      </c>
      <c r="C18" s="15">
        <v>24</v>
      </c>
      <c r="D18" s="13" t="s">
        <v>64</v>
      </c>
      <c r="E18" s="13" t="s">
        <v>65</v>
      </c>
      <c r="F18" s="13" t="s">
        <v>66</v>
      </c>
    </row>
    <row r="19" spans="1:6" ht="24.75" customHeight="1">
      <c r="A19" s="13" t="s">
        <v>67</v>
      </c>
      <c r="B19" s="13" t="s">
        <v>68</v>
      </c>
      <c r="C19" s="16">
        <v>0.9</v>
      </c>
      <c r="D19" s="17" t="s">
        <v>55</v>
      </c>
      <c r="E19" s="13" t="s">
        <v>69</v>
      </c>
      <c r="F19" s="13" t="s">
        <v>70</v>
      </c>
    </row>
    <row r="20" spans="1:6" ht="24.75" customHeight="1">
      <c r="A20" s="13" t="s">
        <v>67</v>
      </c>
      <c r="B20" s="13" t="s">
        <v>71</v>
      </c>
      <c r="C20" s="16">
        <v>0.6</v>
      </c>
      <c r="D20" s="17" t="s">
        <v>55</v>
      </c>
      <c r="E20" s="13" t="s">
        <v>69</v>
      </c>
      <c r="F20" s="13" t="s">
        <v>70</v>
      </c>
    </row>
    <row r="21" spans="1:6" ht="30.75" customHeight="1">
      <c r="A21" s="13" t="s">
        <v>72</v>
      </c>
      <c r="B21" s="13" t="s">
        <v>73</v>
      </c>
      <c r="C21" s="20">
        <f>Monthly_Model!J16</f>
        <v>3125</v>
      </c>
      <c r="D21" s="13" t="s">
        <v>26</v>
      </c>
      <c r="E21" s="13" t="s">
        <v>74</v>
      </c>
      <c r="F21" s="19" t="s">
        <v>75</v>
      </c>
    </row>
    <row r="22" spans="1:6" ht="30.75" customHeight="1">
      <c r="A22" s="13" t="s">
        <v>72</v>
      </c>
      <c r="B22" s="13" t="s">
        <v>76</v>
      </c>
      <c r="C22" s="21">
        <f>Monthly_Model!O16</f>
        <v>0.8</v>
      </c>
      <c r="D22" s="17" t="s">
        <v>55</v>
      </c>
      <c r="E22" s="13" t="s">
        <v>74</v>
      </c>
      <c r="F22" s="19" t="s">
        <v>75</v>
      </c>
    </row>
    <row r="23" spans="1:6" ht="30.75" customHeight="1">
      <c r="A23" s="13" t="s">
        <v>72</v>
      </c>
      <c r="B23" s="13" t="s">
        <v>77</v>
      </c>
      <c r="C23" s="20">
        <f>Monthly_Model!M16</f>
        <v>-125</v>
      </c>
      <c r="D23" s="13" t="s">
        <v>26</v>
      </c>
      <c r="E23" s="13" t="s">
        <v>74</v>
      </c>
      <c r="F23" s="19" t="s">
        <v>75</v>
      </c>
    </row>
    <row r="24" spans="1:6" ht="30.75" customHeight="1">
      <c r="A24" s="13" t="s">
        <v>72</v>
      </c>
      <c r="B24" s="13" t="s">
        <v>78</v>
      </c>
      <c r="C24" s="22">
        <f>IFERROR(C17/C22,"")</f>
        <v>3281.25</v>
      </c>
      <c r="D24" s="13" t="s">
        <v>26</v>
      </c>
      <c r="E24" s="13" t="s">
        <v>74</v>
      </c>
      <c r="F24" s="19" t="s">
        <v>75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1" width="38" style="9" customWidth="1"/>
    <col min="2" max="2" width="18" style="9" customWidth="1"/>
    <col min="3" max="4" width="16" style="9" customWidth="1"/>
    <col min="5" max="5" width="14" style="9" customWidth="1"/>
    <col min="6" max="6" width="18" style="9" customWidth="1"/>
    <col min="7" max="7" width="40" style="9" customWidth="1"/>
  </cols>
  <sheetData>
    <row r="1" spans="1:8" ht="33.75" customHeight="1">
      <c r="A1" s="8" t="s">
        <v>79</v>
      </c>
      <c r="B1" s="8"/>
      <c r="C1" s="8"/>
      <c r="D1" s="8"/>
      <c r="E1" s="8"/>
      <c r="F1" s="8"/>
      <c r="G1" s="8"/>
      <c r="H1" s="8"/>
    </row>
    <row r="2" spans="1:8" ht="21.75" customHeight="1">
      <c r="A2" s="6" t="s">
        <v>80</v>
      </c>
      <c r="B2" s="6"/>
      <c r="C2" s="6"/>
      <c r="D2" s="6"/>
      <c r="E2" s="6"/>
      <c r="F2" s="6"/>
      <c r="G2" s="6"/>
      <c r="H2" s="6"/>
    </row>
    <row r="4" spans="1:8" ht="31.5" customHeight="1">
      <c r="A4" s="12" t="s">
        <v>81</v>
      </c>
      <c r="B4" s="12" t="s">
        <v>82</v>
      </c>
      <c r="C4" s="12" t="s">
        <v>83</v>
      </c>
      <c r="D4" s="12" t="s">
        <v>84</v>
      </c>
      <c r="E4" s="12" t="s">
        <v>85</v>
      </c>
      <c r="F4" s="12" t="s">
        <v>22</v>
      </c>
      <c r="G4" s="12" t="s">
        <v>86</v>
      </c>
    </row>
    <row r="5" spans="1:8" ht="27.75" customHeight="1">
      <c r="A5" s="13" t="s">
        <v>87</v>
      </c>
      <c r="B5" s="23">
        <v>11925</v>
      </c>
      <c r="C5" s="14"/>
      <c r="D5" s="23" t="str">
        <f>IF(C5="","",C5-B5)</f>
        <v/>
      </c>
      <c r="E5" s="24" t="str">
        <f>IF(C5="","",IF(B5=0,"",D5/B5))</f>
        <v/>
      </c>
      <c r="F5" s="17" t="str">
        <f>IF(C5="","أدخل الفعلي",IF(D5&gt;0,"تجاوز",IF(D5&lt;0,"أقل من الميزانية","مطابق")))</f>
        <v>أدخل الفعلي</v>
      </c>
      <c r="G5" s="17" t="s">
        <v>88</v>
      </c>
    </row>
    <row r="6" spans="1:8" ht="27.75" customHeight="1">
      <c r="A6" s="13" t="s">
        <v>89</v>
      </c>
      <c r="B6" s="23">
        <v>6625</v>
      </c>
      <c r="C6" s="14"/>
      <c r="D6" s="23" t="str">
        <f>IF(C6="","",C6-B6)</f>
        <v/>
      </c>
      <c r="E6" s="24" t="str">
        <f>IF(C6="","",IF(B6=0,"",D6/B6))</f>
        <v/>
      </c>
      <c r="F6" s="17" t="str">
        <f>IF(C6="","أدخل الفعلي",IF(D6&gt;0,"تجاوز",IF(D6&lt;0,"أقل من الميزانية","مطابق")))</f>
        <v>أدخل الفعلي</v>
      </c>
      <c r="G6" s="13" t="s">
        <v>90</v>
      </c>
    </row>
    <row r="7" spans="1:8" ht="27.75" customHeight="1">
      <c r="A7" s="13" t="s">
        <v>91</v>
      </c>
      <c r="B7" s="23">
        <v>5300</v>
      </c>
      <c r="C7" s="14"/>
      <c r="D7" s="23" t="str">
        <f>IF(C7="","",C7-B7)</f>
        <v/>
      </c>
      <c r="E7" s="24" t="str">
        <f>IF(C7="","",IF(B7=0,"",D7/B7))</f>
        <v/>
      </c>
      <c r="F7" s="17" t="str">
        <f>IF(C7="","أدخل الفعلي",IF(D7&gt;0,"تجاوز",IF(D7&lt;0,"أقل من الميزانية","مطابق")))</f>
        <v>أدخل الفعلي</v>
      </c>
      <c r="G7" s="13" t="s">
        <v>92</v>
      </c>
    </row>
    <row r="8" spans="1:8" ht="27.75" customHeight="1">
      <c r="A8" s="13" t="s">
        <v>93</v>
      </c>
      <c r="B8" s="23">
        <v>2650</v>
      </c>
      <c r="C8" s="14"/>
      <c r="D8" s="23" t="str">
        <f>IF(C8="","",C8-B8)</f>
        <v/>
      </c>
      <c r="E8" s="24" t="str">
        <f>IF(C8="","",IF(B8=0,"",D8/B8))</f>
        <v/>
      </c>
      <c r="F8" s="17" t="str">
        <f>IF(C8="","أدخل الفعلي",IF(D8&gt;0,"تجاوز",IF(D8&lt;0,"أقل من الميزانية","مطابق")))</f>
        <v>أدخل الفعلي</v>
      </c>
      <c r="G8" s="13" t="s">
        <v>94</v>
      </c>
    </row>
    <row r="9" spans="1:8" ht="15" customHeight="1">
      <c r="A9" s="17"/>
      <c r="B9" s="17"/>
      <c r="C9" s="17"/>
      <c r="D9" s="17"/>
      <c r="E9" s="17"/>
      <c r="F9" s="17"/>
      <c r="G9" s="17"/>
    </row>
    <row r="10" spans="1:8" ht="15.75" customHeight="1">
      <c r="A10" s="25" t="s">
        <v>95</v>
      </c>
      <c r="B10" s="26">
        <f>SUM(B5:B8)</f>
        <v>26500</v>
      </c>
      <c r="C10" s="26" t="str">
        <f>IF(COUNTA(C5:C8)=0,"",SUM(C5:C8))</f>
        <v/>
      </c>
      <c r="D10" s="26" t="str">
        <f>IF(C10="","",C10-B10)</f>
        <v/>
      </c>
      <c r="E10" s="27" t="str">
        <f>IF(C10="","",D10/B10)</f>
        <v/>
      </c>
      <c r="F10" s="25" t="str">
        <f>IF(C10="","أدخل الفعلي",IF(D10&gt;0,"تجاوز",IF(D10&lt;0,"أقل من الميزانية","مطابق")))</f>
        <v>أدخل الفعلي</v>
      </c>
      <c r="G10" s="17"/>
    </row>
  </sheetData>
  <mergeCells count="2">
    <mergeCell ref="A1:H1"/>
    <mergeCell ref="A2:H2"/>
  </mergeCells>
  <conditionalFormatting sqref="D5:D8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showGridLines="0" zoomScaleNormal="100" workbookViewId="0">
      <pane ySplit="4" topLeftCell="A5" activePane="bottomLeft" state="frozen"/>
      <selection pane="bottomLeft" activeCell="C22" sqref="C22"/>
    </sheetView>
  </sheetViews>
  <sheetFormatPr defaultColWidth="8.5703125" defaultRowHeight="15"/>
  <cols>
    <col min="1" max="1" width="12" style="9" customWidth="1"/>
    <col min="2" max="2" width="18" style="9" customWidth="1"/>
    <col min="3" max="4" width="24" style="9" customWidth="1"/>
    <col min="5" max="5" width="20" style="9" customWidth="1"/>
    <col min="6" max="6" width="42" style="9" customWidth="1"/>
  </cols>
  <sheetData>
    <row r="1" spans="1:8" ht="33.75" customHeight="1">
      <c r="A1" s="8" t="s">
        <v>96</v>
      </c>
      <c r="B1" s="8"/>
      <c r="C1" s="8"/>
      <c r="D1" s="8"/>
      <c r="E1" s="8"/>
      <c r="F1" s="8"/>
      <c r="G1" s="8"/>
      <c r="H1" s="8"/>
    </row>
    <row r="2" spans="1:8" ht="21.75" customHeight="1">
      <c r="A2" s="6" t="s">
        <v>97</v>
      </c>
      <c r="B2" s="6"/>
      <c r="C2" s="6"/>
      <c r="D2" s="6"/>
      <c r="E2" s="6"/>
      <c r="F2" s="6"/>
      <c r="G2" s="6"/>
      <c r="H2" s="6"/>
    </row>
    <row r="4" spans="1:8" ht="31.5" customHeight="1">
      <c r="A4" s="12" t="s">
        <v>98</v>
      </c>
      <c r="B4" s="12" t="s">
        <v>99</v>
      </c>
      <c r="C4" s="12" t="s">
        <v>100</v>
      </c>
      <c r="D4" s="12" t="s">
        <v>101</v>
      </c>
      <c r="E4" s="12" t="s">
        <v>102</v>
      </c>
      <c r="F4" s="12" t="s">
        <v>103</v>
      </c>
    </row>
    <row r="5" spans="1:8" ht="24" customHeight="1">
      <c r="A5" s="17">
        <v>1</v>
      </c>
      <c r="B5" s="28"/>
      <c r="C5" s="28"/>
      <c r="D5" s="28"/>
      <c r="E5" s="28"/>
      <c r="F5" s="13" t="s">
        <v>104</v>
      </c>
    </row>
    <row r="6" spans="1:8" ht="24" customHeight="1">
      <c r="A6" s="17">
        <v>2</v>
      </c>
      <c r="B6" s="28"/>
      <c r="C6" s="28"/>
      <c r="D6" s="28"/>
      <c r="E6" s="28"/>
      <c r="F6" s="13" t="s">
        <v>104</v>
      </c>
    </row>
    <row r="7" spans="1:8" ht="24" customHeight="1">
      <c r="A7" s="17">
        <v>3</v>
      </c>
      <c r="B7" s="28"/>
      <c r="C7" s="28"/>
      <c r="D7" s="28"/>
      <c r="E7" s="28"/>
      <c r="F7" s="13" t="s">
        <v>104</v>
      </c>
    </row>
    <row r="8" spans="1:8" ht="24" customHeight="1">
      <c r="A8" s="17">
        <v>4</v>
      </c>
      <c r="B8" s="28"/>
      <c r="C8" s="28"/>
      <c r="D8" s="28"/>
      <c r="E8" s="28"/>
      <c r="F8" s="13" t="s">
        <v>104</v>
      </c>
    </row>
    <row r="9" spans="1:8" ht="24" customHeight="1">
      <c r="A9" s="17">
        <v>5</v>
      </c>
      <c r="B9" s="28"/>
      <c r="C9" s="28"/>
      <c r="D9" s="28"/>
      <c r="E9" s="28"/>
      <c r="F9" s="13" t="s">
        <v>104</v>
      </c>
    </row>
    <row r="10" spans="1:8" ht="24" customHeight="1">
      <c r="A10" s="17">
        <v>6</v>
      </c>
      <c r="B10" s="28"/>
      <c r="C10" s="28"/>
      <c r="D10" s="28"/>
      <c r="E10" s="28"/>
      <c r="F10" s="13" t="s">
        <v>104</v>
      </c>
    </row>
    <row r="11" spans="1:8" ht="24" customHeight="1">
      <c r="A11" s="17">
        <v>7</v>
      </c>
      <c r="B11" s="28"/>
      <c r="C11" s="28"/>
      <c r="D11" s="28"/>
      <c r="E11" s="28"/>
      <c r="F11" s="13" t="s">
        <v>104</v>
      </c>
    </row>
    <row r="12" spans="1:8" ht="24" customHeight="1">
      <c r="A12" s="17">
        <v>8</v>
      </c>
      <c r="B12" s="28"/>
      <c r="C12" s="28"/>
      <c r="D12" s="28"/>
      <c r="E12" s="28"/>
      <c r="F12" s="13" t="s">
        <v>104</v>
      </c>
    </row>
    <row r="13" spans="1:8" ht="24" customHeight="1">
      <c r="A13" s="17">
        <v>9</v>
      </c>
      <c r="B13" s="28"/>
      <c r="C13" s="28"/>
      <c r="D13" s="28"/>
      <c r="E13" s="28"/>
      <c r="F13" s="13" t="s">
        <v>104</v>
      </c>
    </row>
    <row r="14" spans="1:8" ht="24" customHeight="1">
      <c r="A14" s="17">
        <v>10</v>
      </c>
      <c r="B14" s="28"/>
      <c r="C14" s="28"/>
      <c r="D14" s="28"/>
      <c r="E14" s="28"/>
      <c r="F14" s="13" t="s">
        <v>104</v>
      </c>
    </row>
    <row r="15" spans="1:8" ht="24" customHeight="1">
      <c r="A15" s="17">
        <v>11</v>
      </c>
      <c r="B15" s="28"/>
      <c r="C15" s="28"/>
      <c r="D15" s="28"/>
      <c r="E15" s="28"/>
      <c r="F15" s="13" t="s">
        <v>104</v>
      </c>
    </row>
    <row r="16" spans="1:8" ht="24" customHeight="1">
      <c r="A16" s="17">
        <v>12</v>
      </c>
      <c r="B16" s="28"/>
      <c r="C16" s="28"/>
      <c r="D16" s="28"/>
      <c r="E16" s="28"/>
      <c r="F16" s="13" t="s">
        <v>104</v>
      </c>
    </row>
    <row r="17" spans="1:6" ht="24" customHeight="1">
      <c r="A17" s="17">
        <v>13</v>
      </c>
      <c r="B17" s="28"/>
      <c r="C17" s="28"/>
      <c r="D17" s="28"/>
      <c r="E17" s="28"/>
      <c r="F17" s="13" t="s">
        <v>104</v>
      </c>
    </row>
    <row r="18" spans="1:6" ht="24" customHeight="1">
      <c r="A18" s="17">
        <v>14</v>
      </c>
      <c r="B18" s="28"/>
      <c r="C18" s="28"/>
      <c r="D18" s="28"/>
      <c r="E18" s="28"/>
      <c r="F18" s="13" t="s">
        <v>104</v>
      </c>
    </row>
    <row r="19" spans="1:6" ht="24" customHeight="1">
      <c r="A19" s="17">
        <v>15</v>
      </c>
      <c r="B19" s="28"/>
      <c r="C19" s="28"/>
      <c r="D19" s="28"/>
      <c r="E19" s="28"/>
      <c r="F19" s="13" t="s">
        <v>104</v>
      </c>
    </row>
    <row r="20" spans="1:6" ht="24" customHeight="1">
      <c r="A20" s="17">
        <v>16</v>
      </c>
      <c r="B20" s="28"/>
      <c r="C20" s="28"/>
      <c r="D20" s="28"/>
      <c r="E20" s="28"/>
      <c r="F20" s="13" t="s">
        <v>104</v>
      </c>
    </row>
    <row r="21" spans="1:6" ht="24" customHeight="1">
      <c r="A21" s="17">
        <v>17</v>
      </c>
      <c r="B21" s="28"/>
      <c r="C21" s="28"/>
      <c r="D21" s="28"/>
      <c r="E21" s="28"/>
      <c r="F21" s="13" t="s">
        <v>104</v>
      </c>
    </row>
    <row r="22" spans="1:6" ht="24" customHeight="1">
      <c r="A22" s="17">
        <v>18</v>
      </c>
      <c r="B22" s="28"/>
      <c r="C22" s="28"/>
      <c r="D22" s="28"/>
      <c r="E22" s="28"/>
      <c r="F22" s="13" t="s">
        <v>104</v>
      </c>
    </row>
    <row r="23" spans="1:6" ht="24" customHeight="1">
      <c r="A23" s="17">
        <v>19</v>
      </c>
      <c r="B23" s="28"/>
      <c r="C23" s="28"/>
      <c r="D23" s="28"/>
      <c r="E23" s="28"/>
      <c r="F23" s="13" t="s">
        <v>104</v>
      </c>
    </row>
    <row r="24" spans="1:6" ht="24" customHeight="1">
      <c r="A24" s="17">
        <v>20</v>
      </c>
      <c r="B24" s="28"/>
      <c r="C24" s="28"/>
      <c r="D24" s="28"/>
      <c r="E24" s="28"/>
      <c r="F24" s="13" t="s">
        <v>104</v>
      </c>
    </row>
    <row r="25" spans="1:6" ht="24" customHeight="1">
      <c r="A25" s="17">
        <v>21</v>
      </c>
      <c r="B25" s="28"/>
      <c r="C25" s="28"/>
      <c r="D25" s="28"/>
      <c r="E25" s="28"/>
      <c r="F25" s="13" t="s">
        <v>104</v>
      </c>
    </row>
    <row r="26" spans="1:6" ht="24" customHeight="1">
      <c r="A26" s="17">
        <v>22</v>
      </c>
      <c r="B26" s="28"/>
      <c r="C26" s="28"/>
      <c r="D26" s="28"/>
      <c r="E26" s="28"/>
      <c r="F26" s="13" t="s">
        <v>104</v>
      </c>
    </row>
    <row r="27" spans="1:6" ht="24" customHeight="1">
      <c r="A27" s="17">
        <v>23</v>
      </c>
      <c r="B27" s="28"/>
      <c r="C27" s="28"/>
      <c r="D27" s="28"/>
      <c r="E27" s="28"/>
      <c r="F27" s="13" t="s">
        <v>104</v>
      </c>
    </row>
    <row r="28" spans="1:6" ht="24" customHeight="1">
      <c r="A28" s="17">
        <v>24</v>
      </c>
      <c r="B28" s="28"/>
      <c r="C28" s="28"/>
      <c r="D28" s="28"/>
      <c r="E28" s="28"/>
      <c r="F28" s="13" t="s">
        <v>104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8"/>
  <sheetViews>
    <sheetView showGridLines="0" topLeftCell="K1" zoomScaleNormal="100" workbookViewId="0">
      <pane ySplit="4" topLeftCell="A5" activePane="bottomLeft" state="frozen"/>
      <selection pane="bottomLeft" activeCell="R7" sqref="R7"/>
    </sheetView>
  </sheetViews>
  <sheetFormatPr defaultColWidth="8.5703125" defaultRowHeight="15"/>
  <cols>
    <col min="1" max="2" width="9" style="9" customWidth="1"/>
    <col min="3" max="20" width="16" style="9" customWidth="1"/>
    <col min="21" max="21" width="13" style="9" hidden="1" customWidth="1"/>
  </cols>
  <sheetData>
    <row r="1" spans="1:21" ht="33.75" customHeight="1">
      <c r="A1" s="8" t="s">
        <v>105</v>
      </c>
      <c r="B1" s="8"/>
      <c r="C1" s="8"/>
      <c r="D1" s="8"/>
      <c r="E1" s="8"/>
      <c r="F1" s="8"/>
      <c r="G1" s="8"/>
      <c r="H1" s="8"/>
    </row>
    <row r="2" spans="1:21" ht="21.75" customHeight="1">
      <c r="A2" s="6" t="s">
        <v>106</v>
      </c>
      <c r="B2" s="6"/>
      <c r="C2" s="6"/>
      <c r="D2" s="6"/>
      <c r="E2" s="6"/>
      <c r="F2" s="6"/>
      <c r="G2" s="6"/>
      <c r="H2" s="6"/>
    </row>
    <row r="4" spans="1:21" ht="31.5" customHeight="1">
      <c r="A4" s="12" t="s">
        <v>98</v>
      </c>
      <c r="B4" s="12" t="s">
        <v>107</v>
      </c>
      <c r="C4" s="12" t="s">
        <v>108</v>
      </c>
      <c r="D4" s="12" t="s">
        <v>109</v>
      </c>
      <c r="E4" s="12" t="s">
        <v>110</v>
      </c>
      <c r="F4" s="12" t="s">
        <v>111</v>
      </c>
      <c r="G4" s="12" t="s">
        <v>112</v>
      </c>
      <c r="H4" s="12" t="s">
        <v>113</v>
      </c>
      <c r="I4" s="12" t="s">
        <v>114</v>
      </c>
      <c r="J4" s="12" t="s">
        <v>115</v>
      </c>
      <c r="K4" s="12" t="s">
        <v>116</v>
      </c>
      <c r="L4" s="12" t="s">
        <v>117</v>
      </c>
      <c r="M4" s="12" t="s">
        <v>118</v>
      </c>
      <c r="N4" s="12" t="s">
        <v>119</v>
      </c>
      <c r="O4" s="12" t="s">
        <v>120</v>
      </c>
      <c r="P4" s="12" t="s">
        <v>99</v>
      </c>
      <c r="Q4" s="12" t="s">
        <v>121</v>
      </c>
      <c r="R4" s="12" t="s">
        <v>122</v>
      </c>
      <c r="S4" s="12" t="s">
        <v>123</v>
      </c>
      <c r="T4" s="12" t="s">
        <v>124</v>
      </c>
      <c r="U4" s="29" t="s">
        <v>125</v>
      </c>
    </row>
    <row r="5" spans="1:21" ht="24" customHeight="1">
      <c r="A5" s="17">
        <v>1</v>
      </c>
      <c r="B5" s="17" t="str">
        <f t="shared" ref="B5:B28" si="0">"Q"&amp;ROUNDUP(A5/3,0)</f>
        <v>Q1</v>
      </c>
      <c r="C5" s="30">
        <f>Inputs!$C$9*(1-Inputs!$C$15)+Inputs!$C$12</f>
        <v>0.5</v>
      </c>
      <c r="D5" s="30">
        <f>Inputs!$C$10*(1-Inputs!$C$15)+Inputs!$C$13</f>
        <v>0.25</v>
      </c>
      <c r="E5" s="30">
        <f>Inputs!$C$11*(1-Inputs!$C$15)+Inputs!$C$14</f>
        <v>0</v>
      </c>
      <c r="F5" s="30">
        <f t="shared" ref="F5:F28" si="1">SUM(C5:E5)</f>
        <v>0.75</v>
      </c>
      <c r="G5" s="23">
        <f>C5*Inputs!$C$6/12</f>
        <v>104.16666666666667</v>
      </c>
      <c r="H5" s="23">
        <f>D5*Inputs!$C$7/12</f>
        <v>156.25</v>
      </c>
      <c r="I5" s="23">
        <f>E5*Inputs!$C$8/12</f>
        <v>0</v>
      </c>
      <c r="J5" s="23">
        <f t="shared" ref="J5:J28" si="2">SUM(G5:I5)</f>
        <v>260.41666666666669</v>
      </c>
      <c r="K5" s="23">
        <f>J5*Inputs!$C$16</f>
        <v>52.083333333333343</v>
      </c>
      <c r="L5" s="23">
        <f>Inputs!$C$17</f>
        <v>2625</v>
      </c>
      <c r="M5" s="23">
        <f t="shared" ref="M5:M28" si="3">J5-K5-L5</f>
        <v>-2416.6666666666665</v>
      </c>
      <c r="N5" s="23">
        <f>M5</f>
        <v>-2416.6666666666665</v>
      </c>
      <c r="O5" s="24">
        <f t="shared" ref="O5:O28" si="4">IF(J5=0,"",(J5-K5)/J5)</f>
        <v>0.79999999999999993</v>
      </c>
      <c r="P5" s="23" t="str">
        <f>IF(Actuals_Monthly!B5="","",Actuals_Monthly!B5)</f>
        <v/>
      </c>
      <c r="Q5" s="23" t="str">
        <f>IF(OR(Actuals_Monthly!B5="",Actuals_Monthly!C5="",Actuals_Monthly!D5=""),"",Actuals_Monthly!B5-Actuals_Monthly!C5-Actuals_Monthly!D5)</f>
        <v/>
      </c>
      <c r="R5" s="23" t="str">
        <f t="shared" ref="R5:R28" si="5">IF(P5="","",P5-J5)</f>
        <v/>
      </c>
      <c r="S5" s="23" t="str">
        <f t="shared" ref="S5:S28" si="6">IF(Q5="","",Q5-M5)</f>
        <v/>
      </c>
      <c r="T5" s="17" t="str">
        <f t="shared" ref="T5:T28" si="7">IF(P5="","أدخل الفعلي",IF(R5&gt;=0,"فوق الخطة","دون الخطة"))</f>
        <v>أدخل الفعلي</v>
      </c>
      <c r="U5" s="29">
        <f>IF(N5&gt;=Inputs!$C$5,1,0)</f>
        <v>0</v>
      </c>
    </row>
    <row r="6" spans="1:21" ht="24" customHeight="1">
      <c r="A6" s="17">
        <v>2</v>
      </c>
      <c r="B6" s="17" t="str">
        <f t="shared" si="0"/>
        <v>Q1</v>
      </c>
      <c r="C6" s="30">
        <f>C5*(1-Inputs!$C$15)+Inputs!$C$12</f>
        <v>1</v>
      </c>
      <c r="D6" s="30">
        <f>D5*(1-Inputs!$C$15)+Inputs!$C$13</f>
        <v>0.5</v>
      </c>
      <c r="E6" s="30">
        <f>E5*(1-Inputs!$C$15)+Inputs!$C$14</f>
        <v>0</v>
      </c>
      <c r="F6" s="30">
        <f t="shared" si="1"/>
        <v>1.5</v>
      </c>
      <c r="G6" s="23">
        <f>C6*Inputs!$C$6/12</f>
        <v>208.33333333333334</v>
      </c>
      <c r="H6" s="23">
        <f>D6*Inputs!$C$7/12</f>
        <v>312.5</v>
      </c>
      <c r="I6" s="23">
        <f>E6*Inputs!$C$8/12</f>
        <v>0</v>
      </c>
      <c r="J6" s="23">
        <f t="shared" si="2"/>
        <v>520.83333333333337</v>
      </c>
      <c r="K6" s="23">
        <f>J6*Inputs!$C$16</f>
        <v>104.16666666666669</v>
      </c>
      <c r="L6" s="23">
        <f>Inputs!$C$17</f>
        <v>2625</v>
      </c>
      <c r="M6" s="23">
        <f t="shared" si="3"/>
        <v>-2208.3333333333335</v>
      </c>
      <c r="N6" s="23">
        <f t="shared" ref="N6:N28" si="8">N5+M6</f>
        <v>-4625</v>
      </c>
      <c r="O6" s="24">
        <f t="shared" si="4"/>
        <v>0.79999999999999993</v>
      </c>
      <c r="P6" s="23" t="str">
        <f>IF(Actuals_Monthly!B6="","",Actuals_Monthly!B6)</f>
        <v/>
      </c>
      <c r="Q6" s="23" t="str">
        <f>IF(OR(Actuals_Monthly!B6="",Actuals_Monthly!C6="",Actuals_Monthly!D6=""),"",Actuals_Monthly!B6-Actuals_Monthly!C6-Actuals_Monthly!D6)</f>
        <v/>
      </c>
      <c r="R6" s="23" t="str">
        <f>IF(P6="","",P6-J6)</f>
        <v/>
      </c>
      <c r="S6" s="23" t="str">
        <f t="shared" si="6"/>
        <v/>
      </c>
      <c r="T6" s="17" t="str">
        <f t="shared" si="7"/>
        <v>أدخل الفعلي</v>
      </c>
      <c r="U6" s="29">
        <f>IF(N6&gt;=Inputs!$C$5,1,0)</f>
        <v>0</v>
      </c>
    </row>
    <row r="7" spans="1:21" ht="24" customHeight="1">
      <c r="A7" s="17">
        <v>3</v>
      </c>
      <c r="B7" s="17" t="str">
        <f t="shared" si="0"/>
        <v>Q1</v>
      </c>
      <c r="C7" s="30">
        <f>C6*(1-Inputs!$C$15)+Inputs!$C$12</f>
        <v>1.5</v>
      </c>
      <c r="D7" s="30">
        <f>D6*(1-Inputs!$C$15)+Inputs!$C$13</f>
        <v>0.75</v>
      </c>
      <c r="E7" s="30">
        <f>E6*(1-Inputs!$C$15)+Inputs!$C$14</f>
        <v>0</v>
      </c>
      <c r="F7" s="30">
        <f t="shared" si="1"/>
        <v>2.25</v>
      </c>
      <c r="G7" s="23">
        <f>C7*Inputs!$C$6/12</f>
        <v>312.5</v>
      </c>
      <c r="H7" s="23">
        <f>D7*Inputs!$C$7/12</f>
        <v>468.75</v>
      </c>
      <c r="I7" s="23">
        <f>E7*Inputs!$C$8/12</f>
        <v>0</v>
      </c>
      <c r="J7" s="23">
        <f t="shared" si="2"/>
        <v>781.25</v>
      </c>
      <c r="K7" s="23">
        <f>J7*Inputs!$C$16</f>
        <v>156.25</v>
      </c>
      <c r="L7" s="23">
        <f>Inputs!$C$17</f>
        <v>2625</v>
      </c>
      <c r="M7" s="23">
        <f t="shared" si="3"/>
        <v>-2000</v>
      </c>
      <c r="N7" s="23">
        <f t="shared" si="8"/>
        <v>-6625</v>
      </c>
      <c r="O7" s="24">
        <f t="shared" si="4"/>
        <v>0.8</v>
      </c>
      <c r="P7" s="23" t="str">
        <f>IF(Actuals_Monthly!B7="","",Actuals_Monthly!B7)</f>
        <v/>
      </c>
      <c r="Q7" s="23" t="str">
        <f>IF(OR(Actuals_Monthly!B7="",Actuals_Monthly!C7="",Actuals_Monthly!D7=""),"",Actuals_Monthly!B7-Actuals_Monthly!C7-Actuals_Monthly!D7)</f>
        <v/>
      </c>
      <c r="R7" s="23" t="str">
        <f t="shared" si="5"/>
        <v/>
      </c>
      <c r="S7" s="23" t="str">
        <f t="shared" si="6"/>
        <v/>
      </c>
      <c r="T7" s="17" t="str">
        <f t="shared" si="7"/>
        <v>أدخل الفعلي</v>
      </c>
      <c r="U7" s="29">
        <f>IF(N7&gt;=Inputs!$C$5,1,0)</f>
        <v>0</v>
      </c>
    </row>
    <row r="8" spans="1:21" ht="24" customHeight="1">
      <c r="A8" s="17">
        <v>4</v>
      </c>
      <c r="B8" s="17" t="str">
        <f t="shared" si="0"/>
        <v>Q2</v>
      </c>
      <c r="C8" s="30">
        <f>C7*(1-Inputs!$C$15)+Inputs!$C$12</f>
        <v>2</v>
      </c>
      <c r="D8" s="30">
        <f>D7*(1-Inputs!$C$15)+Inputs!$C$13</f>
        <v>1</v>
      </c>
      <c r="E8" s="30">
        <f>E7*(1-Inputs!$C$15)+Inputs!$C$14</f>
        <v>0</v>
      </c>
      <c r="F8" s="30">
        <f t="shared" si="1"/>
        <v>3</v>
      </c>
      <c r="G8" s="23">
        <f>C8*Inputs!$C$6/12</f>
        <v>416.66666666666669</v>
      </c>
      <c r="H8" s="23">
        <f>D8*Inputs!$C$7/12</f>
        <v>625</v>
      </c>
      <c r="I8" s="23">
        <f>E8*Inputs!$C$8/12</f>
        <v>0</v>
      </c>
      <c r="J8" s="23">
        <f t="shared" si="2"/>
        <v>1041.6666666666667</v>
      </c>
      <c r="K8" s="23">
        <f>J8*Inputs!$C$16</f>
        <v>208.33333333333337</v>
      </c>
      <c r="L8" s="23">
        <f>Inputs!$C$17</f>
        <v>2625</v>
      </c>
      <c r="M8" s="23">
        <f t="shared" si="3"/>
        <v>-1791.6666666666665</v>
      </c>
      <c r="N8" s="23">
        <f t="shared" si="8"/>
        <v>-8416.6666666666661</v>
      </c>
      <c r="O8" s="24">
        <f t="shared" si="4"/>
        <v>0.79999999999999993</v>
      </c>
      <c r="P8" s="23" t="str">
        <f>IF(Actuals_Monthly!B8="","",Actuals_Monthly!B8)</f>
        <v/>
      </c>
      <c r="Q8" s="23" t="str">
        <f>IF(OR(Actuals_Monthly!B8="",Actuals_Monthly!C8="",Actuals_Monthly!D8=""),"",Actuals_Monthly!B8-Actuals_Monthly!C8-Actuals_Monthly!D8)</f>
        <v/>
      </c>
      <c r="R8" s="23" t="str">
        <f t="shared" si="5"/>
        <v/>
      </c>
      <c r="S8" s="23" t="str">
        <f t="shared" si="6"/>
        <v/>
      </c>
      <c r="T8" s="17" t="str">
        <f t="shared" si="7"/>
        <v>أدخل الفعلي</v>
      </c>
      <c r="U8" s="29">
        <f>IF(N8&gt;=Inputs!$C$5,1,0)</f>
        <v>0</v>
      </c>
    </row>
    <row r="9" spans="1:21" ht="24" customHeight="1">
      <c r="A9" s="17">
        <v>5</v>
      </c>
      <c r="B9" s="17" t="str">
        <f t="shared" si="0"/>
        <v>Q2</v>
      </c>
      <c r="C9" s="30">
        <f>C8*(1-Inputs!$C$15)+Inputs!$C$12</f>
        <v>2.5</v>
      </c>
      <c r="D9" s="30">
        <f>D8*(1-Inputs!$C$15)+Inputs!$C$13</f>
        <v>1.25</v>
      </c>
      <c r="E9" s="30">
        <f>E8*(1-Inputs!$C$15)+Inputs!$C$14</f>
        <v>0</v>
      </c>
      <c r="F9" s="30">
        <f t="shared" si="1"/>
        <v>3.75</v>
      </c>
      <c r="G9" s="23">
        <f>C9*Inputs!$C$6/12</f>
        <v>520.83333333333337</v>
      </c>
      <c r="H9" s="23">
        <f>D9*Inputs!$C$7/12</f>
        <v>781.25</v>
      </c>
      <c r="I9" s="23">
        <f>E9*Inputs!$C$8/12</f>
        <v>0</v>
      </c>
      <c r="J9" s="23">
        <f t="shared" si="2"/>
        <v>1302.0833333333335</v>
      </c>
      <c r="K9" s="23">
        <f>J9*Inputs!$C$16</f>
        <v>260.41666666666669</v>
      </c>
      <c r="L9" s="23">
        <f>Inputs!$C$17</f>
        <v>2625</v>
      </c>
      <c r="M9" s="23">
        <f t="shared" si="3"/>
        <v>-1583.3333333333333</v>
      </c>
      <c r="N9" s="23">
        <f t="shared" si="8"/>
        <v>-10000</v>
      </c>
      <c r="O9" s="24">
        <f t="shared" si="4"/>
        <v>0.79999999999999993</v>
      </c>
      <c r="P9" s="23" t="str">
        <f>IF(Actuals_Monthly!B9="","",Actuals_Monthly!B9)</f>
        <v/>
      </c>
      <c r="Q9" s="23" t="str">
        <f>IF(OR(Actuals_Monthly!B9="",Actuals_Monthly!C9="",Actuals_Monthly!D9=""),"",Actuals_Monthly!B9-Actuals_Monthly!C9-Actuals_Monthly!D9)</f>
        <v/>
      </c>
      <c r="R9" s="23" t="str">
        <f t="shared" si="5"/>
        <v/>
      </c>
      <c r="S9" s="23" t="str">
        <f t="shared" si="6"/>
        <v/>
      </c>
      <c r="T9" s="17" t="str">
        <f t="shared" si="7"/>
        <v>أدخل الفعلي</v>
      </c>
      <c r="U9" s="29">
        <f>IF(N9&gt;=Inputs!$C$5,1,0)</f>
        <v>0</v>
      </c>
    </row>
    <row r="10" spans="1:21" ht="24" customHeight="1">
      <c r="A10" s="17">
        <v>6</v>
      </c>
      <c r="B10" s="17" t="str">
        <f t="shared" si="0"/>
        <v>Q2</v>
      </c>
      <c r="C10" s="30">
        <f>C9*(1-Inputs!$C$15)+Inputs!$C$12</f>
        <v>3</v>
      </c>
      <c r="D10" s="30">
        <f>D9*(1-Inputs!$C$15)+Inputs!$C$13</f>
        <v>1.5</v>
      </c>
      <c r="E10" s="30">
        <f>E9*(1-Inputs!$C$15)+Inputs!$C$14</f>
        <v>0</v>
      </c>
      <c r="F10" s="30">
        <f t="shared" si="1"/>
        <v>4.5</v>
      </c>
      <c r="G10" s="23">
        <f>C10*Inputs!$C$6/12</f>
        <v>625</v>
      </c>
      <c r="H10" s="23">
        <f>D10*Inputs!$C$7/12</f>
        <v>937.5</v>
      </c>
      <c r="I10" s="23">
        <f>E10*Inputs!$C$8/12</f>
        <v>0</v>
      </c>
      <c r="J10" s="23">
        <f t="shared" si="2"/>
        <v>1562.5</v>
      </c>
      <c r="K10" s="23">
        <f>J10*Inputs!$C$16</f>
        <v>312.5</v>
      </c>
      <c r="L10" s="23">
        <f>Inputs!$C$17</f>
        <v>2625</v>
      </c>
      <c r="M10" s="23">
        <f t="shared" si="3"/>
        <v>-1375</v>
      </c>
      <c r="N10" s="23">
        <f t="shared" si="8"/>
        <v>-11375</v>
      </c>
      <c r="O10" s="24">
        <f t="shared" si="4"/>
        <v>0.8</v>
      </c>
      <c r="P10" s="23" t="str">
        <f>IF(Actuals_Monthly!B10="","",Actuals_Monthly!B10)</f>
        <v/>
      </c>
      <c r="Q10" s="23" t="str">
        <f>IF(OR(Actuals_Monthly!B10="",Actuals_Monthly!C10="",Actuals_Monthly!D10=""),"",Actuals_Monthly!B10-Actuals_Monthly!C10-Actuals_Monthly!D10)</f>
        <v/>
      </c>
      <c r="R10" s="23" t="str">
        <f t="shared" si="5"/>
        <v/>
      </c>
      <c r="S10" s="23" t="str">
        <f t="shared" si="6"/>
        <v/>
      </c>
      <c r="T10" s="17" t="str">
        <f t="shared" si="7"/>
        <v>أدخل الفعلي</v>
      </c>
      <c r="U10" s="29">
        <f>IF(N10&gt;=Inputs!$C$5,1,0)</f>
        <v>0</v>
      </c>
    </row>
    <row r="11" spans="1:21" ht="24" customHeight="1">
      <c r="A11" s="17">
        <v>7</v>
      </c>
      <c r="B11" s="17" t="str">
        <f t="shared" si="0"/>
        <v>Q3</v>
      </c>
      <c r="C11" s="30">
        <f>C10*(1-Inputs!$C$15)+Inputs!$C$12</f>
        <v>3.5</v>
      </c>
      <c r="D11" s="30">
        <f>D10*(1-Inputs!$C$15)+Inputs!$C$13</f>
        <v>1.75</v>
      </c>
      <c r="E11" s="30">
        <f>E10*(1-Inputs!$C$15)+Inputs!$C$14</f>
        <v>0</v>
      </c>
      <c r="F11" s="30">
        <f t="shared" si="1"/>
        <v>5.25</v>
      </c>
      <c r="G11" s="23">
        <f>C11*Inputs!$C$6/12</f>
        <v>729.16666666666663</v>
      </c>
      <c r="H11" s="23">
        <f>D11*Inputs!$C$7/12</f>
        <v>1093.75</v>
      </c>
      <c r="I11" s="23">
        <f>E11*Inputs!$C$8/12</f>
        <v>0</v>
      </c>
      <c r="J11" s="23">
        <f t="shared" si="2"/>
        <v>1822.9166666666665</v>
      </c>
      <c r="K11" s="23">
        <f>J11*Inputs!$C$16</f>
        <v>364.58333333333331</v>
      </c>
      <c r="L11" s="23">
        <f>Inputs!$C$17</f>
        <v>2625</v>
      </c>
      <c r="M11" s="23">
        <f t="shared" si="3"/>
        <v>-1166.6666666666667</v>
      </c>
      <c r="N11" s="23">
        <f t="shared" si="8"/>
        <v>-12541.666666666666</v>
      </c>
      <c r="O11" s="24">
        <f t="shared" si="4"/>
        <v>0.8</v>
      </c>
      <c r="P11" s="23" t="str">
        <f>IF(Actuals_Monthly!B11="","",Actuals_Monthly!B11)</f>
        <v/>
      </c>
      <c r="Q11" s="23" t="str">
        <f>IF(OR(Actuals_Monthly!B11="",Actuals_Monthly!C11="",Actuals_Monthly!D11=""),"",Actuals_Monthly!B11-Actuals_Monthly!C11-Actuals_Monthly!D11)</f>
        <v/>
      </c>
      <c r="R11" s="23" t="str">
        <f t="shared" si="5"/>
        <v/>
      </c>
      <c r="S11" s="23" t="str">
        <f t="shared" si="6"/>
        <v/>
      </c>
      <c r="T11" s="17" t="str">
        <f t="shared" si="7"/>
        <v>أدخل الفعلي</v>
      </c>
      <c r="U11" s="29">
        <f>IF(N11&gt;=Inputs!$C$5,1,0)</f>
        <v>0</v>
      </c>
    </row>
    <row r="12" spans="1:21" ht="24" customHeight="1">
      <c r="A12" s="17">
        <v>8</v>
      </c>
      <c r="B12" s="17" t="str">
        <f t="shared" si="0"/>
        <v>Q3</v>
      </c>
      <c r="C12" s="30">
        <f>C11*(1-Inputs!$C$15)+Inputs!$C$12</f>
        <v>4</v>
      </c>
      <c r="D12" s="30">
        <f>D11*(1-Inputs!$C$15)+Inputs!$C$13</f>
        <v>2</v>
      </c>
      <c r="E12" s="30">
        <f>E11*(1-Inputs!$C$15)+Inputs!$C$14</f>
        <v>0</v>
      </c>
      <c r="F12" s="30">
        <f t="shared" si="1"/>
        <v>6</v>
      </c>
      <c r="G12" s="23">
        <f>C12*Inputs!$C$6/12</f>
        <v>833.33333333333337</v>
      </c>
      <c r="H12" s="23">
        <f>D12*Inputs!$C$7/12</f>
        <v>1250</v>
      </c>
      <c r="I12" s="23">
        <f>E12*Inputs!$C$8/12</f>
        <v>0</v>
      </c>
      <c r="J12" s="23">
        <f t="shared" si="2"/>
        <v>2083.3333333333335</v>
      </c>
      <c r="K12" s="23">
        <f>J12*Inputs!$C$16</f>
        <v>416.66666666666674</v>
      </c>
      <c r="L12" s="23">
        <f>Inputs!$C$17</f>
        <v>2625</v>
      </c>
      <c r="M12" s="23">
        <f t="shared" si="3"/>
        <v>-958.33333333333326</v>
      </c>
      <c r="N12" s="23">
        <f t="shared" si="8"/>
        <v>-13500</v>
      </c>
      <c r="O12" s="24">
        <f t="shared" si="4"/>
        <v>0.79999999999999993</v>
      </c>
      <c r="P12" s="23" t="str">
        <f>IF(Actuals_Monthly!B12="","",Actuals_Monthly!B12)</f>
        <v/>
      </c>
      <c r="Q12" s="23" t="str">
        <f>IF(OR(Actuals_Monthly!B12="",Actuals_Monthly!C12="",Actuals_Monthly!D12=""),"",Actuals_Monthly!B12-Actuals_Monthly!C12-Actuals_Monthly!D12)</f>
        <v/>
      </c>
      <c r="R12" s="23" t="str">
        <f t="shared" si="5"/>
        <v/>
      </c>
      <c r="S12" s="23" t="str">
        <f t="shared" si="6"/>
        <v/>
      </c>
      <c r="T12" s="17" t="str">
        <f t="shared" si="7"/>
        <v>أدخل الفعلي</v>
      </c>
      <c r="U12" s="29">
        <f>IF(N12&gt;=Inputs!$C$5,1,0)</f>
        <v>0</v>
      </c>
    </row>
    <row r="13" spans="1:21" ht="24" customHeight="1">
      <c r="A13" s="17">
        <v>9</v>
      </c>
      <c r="B13" s="17" t="str">
        <f t="shared" si="0"/>
        <v>Q3</v>
      </c>
      <c r="C13" s="30">
        <f>C12*(1-Inputs!$C$15)+Inputs!$C$12</f>
        <v>4.5</v>
      </c>
      <c r="D13" s="30">
        <f>D12*(1-Inputs!$C$15)+Inputs!$C$13</f>
        <v>2.25</v>
      </c>
      <c r="E13" s="30">
        <f>E12*(1-Inputs!$C$15)+Inputs!$C$14</f>
        <v>0</v>
      </c>
      <c r="F13" s="30">
        <f t="shared" si="1"/>
        <v>6.75</v>
      </c>
      <c r="G13" s="23">
        <f>C13*Inputs!$C$6/12</f>
        <v>937.5</v>
      </c>
      <c r="H13" s="23">
        <f>D13*Inputs!$C$7/12</f>
        <v>1406.25</v>
      </c>
      <c r="I13" s="23">
        <f>E13*Inputs!$C$8/12</f>
        <v>0</v>
      </c>
      <c r="J13" s="23">
        <f t="shared" si="2"/>
        <v>2343.75</v>
      </c>
      <c r="K13" s="23">
        <f>J13*Inputs!$C$16</f>
        <v>468.75</v>
      </c>
      <c r="L13" s="23">
        <f>Inputs!$C$17</f>
        <v>2625</v>
      </c>
      <c r="M13" s="23">
        <f t="shared" si="3"/>
        <v>-750</v>
      </c>
      <c r="N13" s="23">
        <f t="shared" si="8"/>
        <v>-14250</v>
      </c>
      <c r="O13" s="24">
        <f t="shared" si="4"/>
        <v>0.8</v>
      </c>
      <c r="P13" s="23" t="str">
        <f>IF(Actuals_Monthly!B13="","",Actuals_Monthly!B13)</f>
        <v/>
      </c>
      <c r="Q13" s="23" t="str">
        <f>IF(OR(Actuals_Monthly!B13="",Actuals_Monthly!C13="",Actuals_Monthly!D13=""),"",Actuals_Monthly!B13-Actuals_Monthly!C13-Actuals_Monthly!D13)</f>
        <v/>
      </c>
      <c r="R13" s="23" t="str">
        <f t="shared" si="5"/>
        <v/>
      </c>
      <c r="S13" s="23" t="str">
        <f t="shared" si="6"/>
        <v/>
      </c>
      <c r="T13" s="17" t="str">
        <f t="shared" si="7"/>
        <v>أدخل الفعلي</v>
      </c>
      <c r="U13" s="29">
        <f>IF(N13&gt;=Inputs!$C$5,1,0)</f>
        <v>0</v>
      </c>
    </row>
    <row r="14" spans="1:21" ht="24" customHeight="1">
      <c r="A14" s="17">
        <v>10</v>
      </c>
      <c r="B14" s="17" t="str">
        <f t="shared" si="0"/>
        <v>Q4</v>
      </c>
      <c r="C14" s="30">
        <f>C13*(1-Inputs!$C$15)+Inputs!$C$12</f>
        <v>5</v>
      </c>
      <c r="D14" s="30">
        <f>D13*(1-Inputs!$C$15)+Inputs!$C$13</f>
        <v>2.5</v>
      </c>
      <c r="E14" s="30">
        <f>E13*(1-Inputs!$C$15)+Inputs!$C$14</f>
        <v>0</v>
      </c>
      <c r="F14" s="30">
        <f t="shared" si="1"/>
        <v>7.5</v>
      </c>
      <c r="G14" s="23">
        <f>C14*Inputs!$C$6/12</f>
        <v>1041.6666666666667</v>
      </c>
      <c r="H14" s="23">
        <f>D14*Inputs!$C$7/12</f>
        <v>1562.5</v>
      </c>
      <c r="I14" s="23">
        <f>E14*Inputs!$C$8/12</f>
        <v>0</v>
      </c>
      <c r="J14" s="23">
        <f t="shared" si="2"/>
        <v>2604.166666666667</v>
      </c>
      <c r="K14" s="23">
        <f>J14*Inputs!$C$16</f>
        <v>520.83333333333337</v>
      </c>
      <c r="L14" s="23">
        <f>Inputs!$C$17</f>
        <v>2625</v>
      </c>
      <c r="M14" s="23">
        <f t="shared" si="3"/>
        <v>-541.66666666666652</v>
      </c>
      <c r="N14" s="23">
        <f t="shared" si="8"/>
        <v>-14791.666666666666</v>
      </c>
      <c r="O14" s="24">
        <f t="shared" si="4"/>
        <v>0.79999999999999993</v>
      </c>
      <c r="P14" s="23" t="str">
        <f>IF(Actuals_Monthly!B14="","",Actuals_Monthly!B14)</f>
        <v/>
      </c>
      <c r="Q14" s="23" t="str">
        <f>IF(OR(Actuals_Monthly!B14="",Actuals_Monthly!C14="",Actuals_Monthly!D14=""),"",Actuals_Monthly!B14-Actuals_Monthly!C14-Actuals_Monthly!D14)</f>
        <v/>
      </c>
      <c r="R14" s="23" t="str">
        <f t="shared" si="5"/>
        <v/>
      </c>
      <c r="S14" s="23" t="str">
        <f t="shared" si="6"/>
        <v/>
      </c>
      <c r="T14" s="17" t="str">
        <f t="shared" si="7"/>
        <v>أدخل الفعلي</v>
      </c>
      <c r="U14" s="29">
        <f>IF(N14&gt;=Inputs!$C$5,1,0)</f>
        <v>0</v>
      </c>
    </row>
    <row r="15" spans="1:21" ht="24" customHeight="1">
      <c r="A15" s="17">
        <v>11</v>
      </c>
      <c r="B15" s="17" t="str">
        <f t="shared" si="0"/>
        <v>Q4</v>
      </c>
      <c r="C15" s="30">
        <f>C14*(1-Inputs!$C$15)+Inputs!$C$12</f>
        <v>5.5</v>
      </c>
      <c r="D15" s="30">
        <f>D14*(1-Inputs!$C$15)+Inputs!$C$13</f>
        <v>2.75</v>
      </c>
      <c r="E15" s="30">
        <f>E14*(1-Inputs!$C$15)+Inputs!$C$14</f>
        <v>0</v>
      </c>
      <c r="F15" s="30">
        <f t="shared" si="1"/>
        <v>8.25</v>
      </c>
      <c r="G15" s="23">
        <f>C15*Inputs!$C$6/12</f>
        <v>1145.8333333333333</v>
      </c>
      <c r="H15" s="23">
        <f>D15*Inputs!$C$7/12</f>
        <v>1718.75</v>
      </c>
      <c r="I15" s="23">
        <f>E15*Inputs!$C$8/12</f>
        <v>0</v>
      </c>
      <c r="J15" s="23">
        <f t="shared" si="2"/>
        <v>2864.583333333333</v>
      </c>
      <c r="K15" s="23">
        <f>J15*Inputs!$C$16</f>
        <v>572.91666666666663</v>
      </c>
      <c r="L15" s="23">
        <f>Inputs!$C$17</f>
        <v>2625</v>
      </c>
      <c r="M15" s="23">
        <f t="shared" si="3"/>
        <v>-333.33333333333348</v>
      </c>
      <c r="N15" s="23">
        <f t="shared" si="8"/>
        <v>-15125</v>
      </c>
      <c r="O15" s="24">
        <f t="shared" si="4"/>
        <v>0.8</v>
      </c>
      <c r="P15" s="23" t="str">
        <f>IF(Actuals_Monthly!B15="","",Actuals_Monthly!B15)</f>
        <v/>
      </c>
      <c r="Q15" s="23" t="str">
        <f>IF(OR(Actuals_Monthly!B15="",Actuals_Monthly!C15="",Actuals_Monthly!D15=""),"",Actuals_Monthly!B15-Actuals_Monthly!C15-Actuals_Monthly!D15)</f>
        <v/>
      </c>
      <c r="R15" s="23" t="str">
        <f t="shared" si="5"/>
        <v/>
      </c>
      <c r="S15" s="23" t="str">
        <f t="shared" si="6"/>
        <v/>
      </c>
      <c r="T15" s="17" t="str">
        <f t="shared" si="7"/>
        <v>أدخل الفعلي</v>
      </c>
      <c r="U15" s="29">
        <f>IF(N15&gt;=Inputs!$C$5,1,0)</f>
        <v>0</v>
      </c>
    </row>
    <row r="16" spans="1:21" ht="24" customHeight="1">
      <c r="A16" s="17">
        <v>12</v>
      </c>
      <c r="B16" s="17" t="str">
        <f t="shared" si="0"/>
        <v>Q4</v>
      </c>
      <c r="C16" s="30">
        <f>C15*(1-Inputs!$C$15)+Inputs!$C$12</f>
        <v>6</v>
      </c>
      <c r="D16" s="30">
        <f>D15*(1-Inputs!$C$15)+Inputs!$C$13</f>
        <v>3</v>
      </c>
      <c r="E16" s="30">
        <f>E15*(1-Inputs!$C$15)+Inputs!$C$14</f>
        <v>0</v>
      </c>
      <c r="F16" s="30">
        <f t="shared" si="1"/>
        <v>9</v>
      </c>
      <c r="G16" s="23">
        <f>C16*Inputs!$C$6/12</f>
        <v>1250</v>
      </c>
      <c r="H16" s="23">
        <f>D16*Inputs!$C$7/12</f>
        <v>1875</v>
      </c>
      <c r="I16" s="23">
        <f>E16*Inputs!$C$8/12</f>
        <v>0</v>
      </c>
      <c r="J16" s="23">
        <f t="shared" si="2"/>
        <v>3125</v>
      </c>
      <c r="K16" s="23">
        <f>J16*Inputs!$C$16</f>
        <v>625</v>
      </c>
      <c r="L16" s="23">
        <f>Inputs!$C$17</f>
        <v>2625</v>
      </c>
      <c r="M16" s="23">
        <f t="shared" si="3"/>
        <v>-125</v>
      </c>
      <c r="N16" s="23">
        <f t="shared" si="8"/>
        <v>-15250</v>
      </c>
      <c r="O16" s="24">
        <f t="shared" si="4"/>
        <v>0.8</v>
      </c>
      <c r="P16" s="23" t="str">
        <f>IF(Actuals_Monthly!B16="","",Actuals_Monthly!B16)</f>
        <v/>
      </c>
      <c r="Q16" s="23" t="str">
        <f>IF(OR(Actuals_Monthly!B16="",Actuals_Monthly!C16="",Actuals_Monthly!D16=""),"",Actuals_Monthly!B16-Actuals_Monthly!C16-Actuals_Monthly!D16)</f>
        <v/>
      </c>
      <c r="R16" s="23" t="str">
        <f t="shared" si="5"/>
        <v/>
      </c>
      <c r="S16" s="23" t="str">
        <f t="shared" si="6"/>
        <v/>
      </c>
      <c r="T16" s="17" t="str">
        <f t="shared" si="7"/>
        <v>أدخل الفعلي</v>
      </c>
      <c r="U16" s="29">
        <f>IF(N16&gt;=Inputs!$C$5,1,0)</f>
        <v>0</v>
      </c>
    </row>
    <row r="17" spans="1:21" ht="24" customHeight="1">
      <c r="A17" s="17">
        <v>13</v>
      </c>
      <c r="B17" s="17" t="str">
        <f t="shared" si="0"/>
        <v>Q5</v>
      </c>
      <c r="C17" s="30">
        <f>C16*(1-Inputs!$C$15)+Inputs!$C$12</f>
        <v>6.5</v>
      </c>
      <c r="D17" s="30">
        <f>D16*(1-Inputs!$C$15)+Inputs!$C$13</f>
        <v>3.25</v>
      </c>
      <c r="E17" s="30">
        <f>E16*(1-Inputs!$C$15)+Inputs!$C$14</f>
        <v>0</v>
      </c>
      <c r="F17" s="30">
        <f t="shared" si="1"/>
        <v>9.75</v>
      </c>
      <c r="G17" s="23">
        <f>C17*Inputs!$C$6/12</f>
        <v>1354.1666666666667</v>
      </c>
      <c r="H17" s="23">
        <f>D17*Inputs!$C$7/12</f>
        <v>2031.25</v>
      </c>
      <c r="I17" s="23">
        <f>E17*Inputs!$C$8/12</f>
        <v>0</v>
      </c>
      <c r="J17" s="23">
        <f t="shared" si="2"/>
        <v>3385.416666666667</v>
      </c>
      <c r="K17" s="23">
        <f>J17*Inputs!$C$16</f>
        <v>677.08333333333348</v>
      </c>
      <c r="L17" s="23">
        <f>Inputs!$C$17</f>
        <v>2625</v>
      </c>
      <c r="M17" s="23">
        <f t="shared" si="3"/>
        <v>83.333333333333485</v>
      </c>
      <c r="N17" s="23">
        <f t="shared" si="8"/>
        <v>-15166.666666666666</v>
      </c>
      <c r="O17" s="24">
        <f t="shared" si="4"/>
        <v>0.79999999999999993</v>
      </c>
      <c r="P17" s="23" t="str">
        <f>IF(Actuals_Monthly!B17="","",Actuals_Monthly!B17)</f>
        <v/>
      </c>
      <c r="Q17" s="23" t="str">
        <f>IF(OR(Actuals_Monthly!B17="",Actuals_Monthly!C17="",Actuals_Monthly!D17=""),"",Actuals_Monthly!B17-Actuals_Monthly!C17-Actuals_Monthly!D17)</f>
        <v/>
      </c>
      <c r="R17" s="23" t="str">
        <f t="shared" si="5"/>
        <v/>
      </c>
      <c r="S17" s="23" t="str">
        <f t="shared" si="6"/>
        <v/>
      </c>
      <c r="T17" s="17" t="str">
        <f t="shared" si="7"/>
        <v>أدخل الفعلي</v>
      </c>
      <c r="U17" s="29">
        <f>IF(N17&gt;=Inputs!$C$5,1,0)</f>
        <v>0</v>
      </c>
    </row>
    <row r="18" spans="1:21" ht="24" customHeight="1">
      <c r="A18" s="17">
        <v>14</v>
      </c>
      <c r="B18" s="17" t="str">
        <f t="shared" si="0"/>
        <v>Q5</v>
      </c>
      <c r="C18" s="30">
        <f>C17*(1-Inputs!$C$15)+Inputs!$C$12</f>
        <v>7</v>
      </c>
      <c r="D18" s="30">
        <f>D17*(1-Inputs!$C$15)+Inputs!$C$13</f>
        <v>3.5</v>
      </c>
      <c r="E18" s="30">
        <f>E17*(1-Inputs!$C$15)+Inputs!$C$14</f>
        <v>0</v>
      </c>
      <c r="F18" s="30">
        <f t="shared" si="1"/>
        <v>10.5</v>
      </c>
      <c r="G18" s="23">
        <f>C18*Inputs!$C$6/12</f>
        <v>1458.3333333333333</v>
      </c>
      <c r="H18" s="23">
        <f>D18*Inputs!$C$7/12</f>
        <v>2187.5</v>
      </c>
      <c r="I18" s="23">
        <f>E18*Inputs!$C$8/12</f>
        <v>0</v>
      </c>
      <c r="J18" s="23">
        <f t="shared" si="2"/>
        <v>3645.833333333333</v>
      </c>
      <c r="K18" s="23">
        <f>J18*Inputs!$C$16</f>
        <v>729.16666666666663</v>
      </c>
      <c r="L18" s="23">
        <f>Inputs!$C$17</f>
        <v>2625</v>
      </c>
      <c r="M18" s="23">
        <f t="shared" si="3"/>
        <v>291.66666666666652</v>
      </c>
      <c r="N18" s="23">
        <f t="shared" si="8"/>
        <v>-14875</v>
      </c>
      <c r="O18" s="24">
        <f t="shared" si="4"/>
        <v>0.8</v>
      </c>
      <c r="P18" s="23" t="str">
        <f>IF(Actuals_Monthly!B18="","",Actuals_Monthly!B18)</f>
        <v/>
      </c>
      <c r="Q18" s="23" t="str">
        <f>IF(OR(Actuals_Monthly!B18="",Actuals_Monthly!C18="",Actuals_Monthly!D18=""),"",Actuals_Monthly!B18-Actuals_Monthly!C18-Actuals_Monthly!D18)</f>
        <v/>
      </c>
      <c r="R18" s="23" t="str">
        <f t="shared" si="5"/>
        <v/>
      </c>
      <c r="S18" s="23" t="str">
        <f t="shared" si="6"/>
        <v/>
      </c>
      <c r="T18" s="17" t="str">
        <f t="shared" si="7"/>
        <v>أدخل الفعلي</v>
      </c>
      <c r="U18" s="29">
        <f>IF(N18&gt;=Inputs!$C$5,1,0)</f>
        <v>0</v>
      </c>
    </row>
    <row r="19" spans="1:21" ht="24" customHeight="1">
      <c r="A19" s="17">
        <v>15</v>
      </c>
      <c r="B19" s="17" t="str">
        <f t="shared" si="0"/>
        <v>Q5</v>
      </c>
      <c r="C19" s="30">
        <f>C18*(1-Inputs!$C$15)+Inputs!$C$12</f>
        <v>7.5</v>
      </c>
      <c r="D19" s="30">
        <f>D18*(1-Inputs!$C$15)+Inputs!$C$13</f>
        <v>3.75</v>
      </c>
      <c r="E19" s="30">
        <f>E18*(1-Inputs!$C$15)+Inputs!$C$14</f>
        <v>0</v>
      </c>
      <c r="F19" s="30">
        <f t="shared" si="1"/>
        <v>11.25</v>
      </c>
      <c r="G19" s="23">
        <f>C19*Inputs!$C$6/12</f>
        <v>1562.5</v>
      </c>
      <c r="H19" s="23">
        <f>D19*Inputs!$C$7/12</f>
        <v>2343.75</v>
      </c>
      <c r="I19" s="23">
        <f>E19*Inputs!$C$8/12</f>
        <v>0</v>
      </c>
      <c r="J19" s="23">
        <f t="shared" si="2"/>
        <v>3906.25</v>
      </c>
      <c r="K19" s="23">
        <f>J19*Inputs!$C$16</f>
        <v>781.25</v>
      </c>
      <c r="L19" s="23">
        <f>Inputs!$C$17</f>
        <v>2625</v>
      </c>
      <c r="M19" s="23">
        <f t="shared" si="3"/>
        <v>500</v>
      </c>
      <c r="N19" s="23">
        <f t="shared" si="8"/>
        <v>-14375</v>
      </c>
      <c r="O19" s="24">
        <f t="shared" si="4"/>
        <v>0.8</v>
      </c>
      <c r="P19" s="23" t="str">
        <f>IF(Actuals_Monthly!B19="","",Actuals_Monthly!B19)</f>
        <v/>
      </c>
      <c r="Q19" s="23" t="str">
        <f>IF(OR(Actuals_Monthly!B19="",Actuals_Monthly!C19="",Actuals_Monthly!D19=""),"",Actuals_Monthly!B19-Actuals_Monthly!C19-Actuals_Monthly!D19)</f>
        <v/>
      </c>
      <c r="R19" s="23" t="str">
        <f t="shared" si="5"/>
        <v/>
      </c>
      <c r="S19" s="23" t="str">
        <f t="shared" si="6"/>
        <v/>
      </c>
      <c r="T19" s="17" t="str">
        <f t="shared" si="7"/>
        <v>أدخل الفعلي</v>
      </c>
      <c r="U19" s="29">
        <f>IF(N19&gt;=Inputs!$C$5,1,0)</f>
        <v>0</v>
      </c>
    </row>
    <row r="20" spans="1:21" ht="24" customHeight="1">
      <c r="A20" s="17">
        <v>16</v>
      </c>
      <c r="B20" s="17" t="str">
        <f t="shared" si="0"/>
        <v>Q6</v>
      </c>
      <c r="C20" s="30">
        <f>C19*(1-Inputs!$C$15)+Inputs!$C$12</f>
        <v>8</v>
      </c>
      <c r="D20" s="30">
        <f>D19*(1-Inputs!$C$15)+Inputs!$C$13</f>
        <v>4</v>
      </c>
      <c r="E20" s="30">
        <f>E19*(1-Inputs!$C$15)+Inputs!$C$14</f>
        <v>0</v>
      </c>
      <c r="F20" s="30">
        <f t="shared" si="1"/>
        <v>12</v>
      </c>
      <c r="G20" s="23">
        <f>C20*Inputs!$C$6/12</f>
        <v>1666.6666666666667</v>
      </c>
      <c r="H20" s="23">
        <f>D20*Inputs!$C$7/12</f>
        <v>2500</v>
      </c>
      <c r="I20" s="23">
        <f>E20*Inputs!$C$8/12</f>
        <v>0</v>
      </c>
      <c r="J20" s="23">
        <f t="shared" si="2"/>
        <v>4166.666666666667</v>
      </c>
      <c r="K20" s="23">
        <f>J20*Inputs!$C$16</f>
        <v>833.33333333333348</v>
      </c>
      <c r="L20" s="23">
        <f>Inputs!$C$17</f>
        <v>2625</v>
      </c>
      <c r="M20" s="23">
        <f t="shared" si="3"/>
        <v>708.33333333333348</v>
      </c>
      <c r="N20" s="23">
        <f t="shared" si="8"/>
        <v>-13666.666666666666</v>
      </c>
      <c r="O20" s="24">
        <f t="shared" si="4"/>
        <v>0.79999999999999993</v>
      </c>
      <c r="P20" s="23" t="str">
        <f>IF(Actuals_Monthly!B20="","",Actuals_Monthly!B20)</f>
        <v/>
      </c>
      <c r="Q20" s="23" t="str">
        <f>IF(OR(Actuals_Monthly!B20="",Actuals_Monthly!C20="",Actuals_Monthly!D20=""),"",Actuals_Monthly!B20-Actuals_Monthly!C20-Actuals_Monthly!D20)</f>
        <v/>
      </c>
      <c r="R20" s="23" t="str">
        <f t="shared" si="5"/>
        <v/>
      </c>
      <c r="S20" s="23" t="str">
        <f t="shared" si="6"/>
        <v/>
      </c>
      <c r="T20" s="17" t="str">
        <f t="shared" si="7"/>
        <v>أدخل الفعلي</v>
      </c>
      <c r="U20" s="29">
        <f>IF(N20&gt;=Inputs!$C$5,1,0)</f>
        <v>0</v>
      </c>
    </row>
    <row r="21" spans="1:21" ht="24" customHeight="1">
      <c r="A21" s="17">
        <v>17</v>
      </c>
      <c r="B21" s="17" t="str">
        <f t="shared" si="0"/>
        <v>Q6</v>
      </c>
      <c r="C21" s="30">
        <f>C20*(1-Inputs!$C$15)+Inputs!$C$12</f>
        <v>8.5</v>
      </c>
      <c r="D21" s="30">
        <f>D20*(1-Inputs!$C$15)+Inputs!$C$13</f>
        <v>4.25</v>
      </c>
      <c r="E21" s="30">
        <f>E20*(1-Inputs!$C$15)+Inputs!$C$14</f>
        <v>0</v>
      </c>
      <c r="F21" s="30">
        <f t="shared" si="1"/>
        <v>12.75</v>
      </c>
      <c r="G21" s="23">
        <f>C21*Inputs!$C$6/12</f>
        <v>1770.8333333333333</v>
      </c>
      <c r="H21" s="23">
        <f>D21*Inputs!$C$7/12</f>
        <v>2656.25</v>
      </c>
      <c r="I21" s="23">
        <f>E21*Inputs!$C$8/12</f>
        <v>0</v>
      </c>
      <c r="J21" s="23">
        <f t="shared" si="2"/>
        <v>4427.083333333333</v>
      </c>
      <c r="K21" s="23">
        <f>J21*Inputs!$C$16</f>
        <v>885.41666666666663</v>
      </c>
      <c r="L21" s="23">
        <f>Inputs!$C$17</f>
        <v>2625</v>
      </c>
      <c r="M21" s="23">
        <f t="shared" si="3"/>
        <v>916.66666666666652</v>
      </c>
      <c r="N21" s="23">
        <f t="shared" si="8"/>
        <v>-12750</v>
      </c>
      <c r="O21" s="24">
        <f t="shared" si="4"/>
        <v>0.8</v>
      </c>
      <c r="P21" s="23" t="str">
        <f>IF(Actuals_Monthly!B21="","",Actuals_Monthly!B21)</f>
        <v/>
      </c>
      <c r="Q21" s="23" t="str">
        <f>IF(OR(Actuals_Monthly!B21="",Actuals_Monthly!C21="",Actuals_Monthly!D21=""),"",Actuals_Monthly!B21-Actuals_Monthly!C21-Actuals_Monthly!D21)</f>
        <v/>
      </c>
      <c r="R21" s="23" t="str">
        <f t="shared" si="5"/>
        <v/>
      </c>
      <c r="S21" s="23" t="str">
        <f t="shared" si="6"/>
        <v/>
      </c>
      <c r="T21" s="17" t="str">
        <f t="shared" si="7"/>
        <v>أدخل الفعلي</v>
      </c>
      <c r="U21" s="29">
        <f>IF(N21&gt;=Inputs!$C$5,1,0)</f>
        <v>0</v>
      </c>
    </row>
    <row r="22" spans="1:21" ht="24" customHeight="1">
      <c r="A22" s="17">
        <v>18</v>
      </c>
      <c r="B22" s="17" t="str">
        <f t="shared" si="0"/>
        <v>Q6</v>
      </c>
      <c r="C22" s="30">
        <f>C21*(1-Inputs!$C$15)+Inputs!$C$12</f>
        <v>9</v>
      </c>
      <c r="D22" s="30">
        <f>D21*(1-Inputs!$C$15)+Inputs!$C$13</f>
        <v>4.5</v>
      </c>
      <c r="E22" s="30">
        <f>E21*(1-Inputs!$C$15)+Inputs!$C$14</f>
        <v>0</v>
      </c>
      <c r="F22" s="30">
        <f t="shared" si="1"/>
        <v>13.5</v>
      </c>
      <c r="G22" s="23">
        <f>C22*Inputs!$C$6/12</f>
        <v>1875</v>
      </c>
      <c r="H22" s="23">
        <f>D22*Inputs!$C$7/12</f>
        <v>2812.5</v>
      </c>
      <c r="I22" s="23">
        <f>E22*Inputs!$C$8/12</f>
        <v>0</v>
      </c>
      <c r="J22" s="23">
        <f t="shared" si="2"/>
        <v>4687.5</v>
      </c>
      <c r="K22" s="23">
        <f>J22*Inputs!$C$16</f>
        <v>937.5</v>
      </c>
      <c r="L22" s="23">
        <f>Inputs!$C$17</f>
        <v>2625</v>
      </c>
      <c r="M22" s="23">
        <f t="shared" si="3"/>
        <v>1125</v>
      </c>
      <c r="N22" s="23">
        <f t="shared" si="8"/>
        <v>-11625</v>
      </c>
      <c r="O22" s="24">
        <f t="shared" si="4"/>
        <v>0.8</v>
      </c>
      <c r="P22" s="23" t="str">
        <f>IF(Actuals_Monthly!B22="","",Actuals_Monthly!B22)</f>
        <v/>
      </c>
      <c r="Q22" s="23" t="str">
        <f>IF(OR(Actuals_Monthly!B22="",Actuals_Monthly!C22="",Actuals_Monthly!D22=""),"",Actuals_Monthly!B22-Actuals_Monthly!C22-Actuals_Monthly!D22)</f>
        <v/>
      </c>
      <c r="R22" s="23" t="str">
        <f t="shared" si="5"/>
        <v/>
      </c>
      <c r="S22" s="23" t="str">
        <f t="shared" si="6"/>
        <v/>
      </c>
      <c r="T22" s="17" t="str">
        <f t="shared" si="7"/>
        <v>أدخل الفعلي</v>
      </c>
      <c r="U22" s="29">
        <f>IF(N22&gt;=Inputs!$C$5,1,0)</f>
        <v>0</v>
      </c>
    </row>
    <row r="23" spans="1:21" ht="24" customHeight="1">
      <c r="A23" s="17">
        <v>19</v>
      </c>
      <c r="B23" s="17" t="str">
        <f t="shared" si="0"/>
        <v>Q7</v>
      </c>
      <c r="C23" s="30">
        <f>C22*(1-Inputs!$C$15)+Inputs!$C$12</f>
        <v>9.5</v>
      </c>
      <c r="D23" s="30">
        <f>D22*(1-Inputs!$C$15)+Inputs!$C$13</f>
        <v>4.75</v>
      </c>
      <c r="E23" s="30">
        <f>E22*(1-Inputs!$C$15)+Inputs!$C$14</f>
        <v>0</v>
      </c>
      <c r="F23" s="30">
        <f t="shared" si="1"/>
        <v>14.25</v>
      </c>
      <c r="G23" s="23">
        <f>C23*Inputs!$C$6/12</f>
        <v>1979.1666666666667</v>
      </c>
      <c r="H23" s="23">
        <f>D23*Inputs!$C$7/12</f>
        <v>2968.75</v>
      </c>
      <c r="I23" s="23">
        <f>E23*Inputs!$C$8/12</f>
        <v>0</v>
      </c>
      <c r="J23" s="23">
        <f t="shared" si="2"/>
        <v>4947.916666666667</v>
      </c>
      <c r="K23" s="23">
        <f>J23*Inputs!$C$16</f>
        <v>989.58333333333348</v>
      </c>
      <c r="L23" s="23">
        <f>Inputs!$C$17</f>
        <v>2625</v>
      </c>
      <c r="M23" s="23">
        <f t="shared" si="3"/>
        <v>1333.3333333333335</v>
      </c>
      <c r="N23" s="23">
        <f t="shared" si="8"/>
        <v>-10291.666666666666</v>
      </c>
      <c r="O23" s="24">
        <f t="shared" si="4"/>
        <v>0.79999999999999993</v>
      </c>
      <c r="P23" s="23" t="str">
        <f>IF(Actuals_Monthly!B23="","",Actuals_Monthly!B23)</f>
        <v/>
      </c>
      <c r="Q23" s="23" t="str">
        <f>IF(OR(Actuals_Monthly!B23="",Actuals_Monthly!C23="",Actuals_Monthly!D23=""),"",Actuals_Monthly!B23-Actuals_Monthly!C23-Actuals_Monthly!D23)</f>
        <v/>
      </c>
      <c r="R23" s="23" t="str">
        <f t="shared" si="5"/>
        <v/>
      </c>
      <c r="S23" s="23" t="str">
        <f t="shared" si="6"/>
        <v/>
      </c>
      <c r="T23" s="17" t="str">
        <f t="shared" si="7"/>
        <v>أدخل الفعلي</v>
      </c>
      <c r="U23" s="29">
        <f>IF(N23&gt;=Inputs!$C$5,1,0)</f>
        <v>0</v>
      </c>
    </row>
    <row r="24" spans="1:21" ht="24" customHeight="1">
      <c r="A24" s="17">
        <v>20</v>
      </c>
      <c r="B24" s="17" t="str">
        <f t="shared" si="0"/>
        <v>Q7</v>
      </c>
      <c r="C24" s="30">
        <f>C23*(1-Inputs!$C$15)+Inputs!$C$12</f>
        <v>10</v>
      </c>
      <c r="D24" s="30">
        <f>D23*(1-Inputs!$C$15)+Inputs!$C$13</f>
        <v>5</v>
      </c>
      <c r="E24" s="30">
        <f>E23*(1-Inputs!$C$15)+Inputs!$C$14</f>
        <v>0</v>
      </c>
      <c r="F24" s="30">
        <f t="shared" si="1"/>
        <v>15</v>
      </c>
      <c r="G24" s="23">
        <f>C24*Inputs!$C$6/12</f>
        <v>2083.3333333333335</v>
      </c>
      <c r="H24" s="23">
        <f>D24*Inputs!$C$7/12</f>
        <v>3125</v>
      </c>
      <c r="I24" s="23">
        <f>E24*Inputs!$C$8/12</f>
        <v>0</v>
      </c>
      <c r="J24" s="23">
        <f t="shared" si="2"/>
        <v>5208.3333333333339</v>
      </c>
      <c r="K24" s="23">
        <f>J24*Inputs!$C$16</f>
        <v>1041.6666666666667</v>
      </c>
      <c r="L24" s="23">
        <f>Inputs!$C$17</f>
        <v>2625</v>
      </c>
      <c r="M24" s="23">
        <f t="shared" si="3"/>
        <v>1541.666666666667</v>
      </c>
      <c r="N24" s="23">
        <f t="shared" si="8"/>
        <v>-8750</v>
      </c>
      <c r="O24" s="24">
        <f t="shared" si="4"/>
        <v>0.79999999999999993</v>
      </c>
      <c r="P24" s="23" t="str">
        <f>IF(Actuals_Monthly!B24="","",Actuals_Monthly!B24)</f>
        <v/>
      </c>
      <c r="Q24" s="23" t="str">
        <f>IF(OR(Actuals_Monthly!B24="",Actuals_Monthly!C24="",Actuals_Monthly!D24=""),"",Actuals_Monthly!B24-Actuals_Monthly!C24-Actuals_Monthly!D24)</f>
        <v/>
      </c>
      <c r="R24" s="23" t="str">
        <f t="shared" si="5"/>
        <v/>
      </c>
      <c r="S24" s="23" t="str">
        <f t="shared" si="6"/>
        <v/>
      </c>
      <c r="T24" s="17" t="str">
        <f t="shared" si="7"/>
        <v>أدخل الفعلي</v>
      </c>
      <c r="U24" s="29">
        <f>IF(N24&gt;=Inputs!$C$5,1,0)</f>
        <v>0</v>
      </c>
    </row>
    <row r="25" spans="1:21" ht="24" customHeight="1">
      <c r="A25" s="17">
        <v>21</v>
      </c>
      <c r="B25" s="17" t="str">
        <f t="shared" si="0"/>
        <v>Q7</v>
      </c>
      <c r="C25" s="30">
        <f>C24*(1-Inputs!$C$15)+Inputs!$C$12</f>
        <v>10.5</v>
      </c>
      <c r="D25" s="30">
        <f>D24*(1-Inputs!$C$15)+Inputs!$C$13</f>
        <v>5.25</v>
      </c>
      <c r="E25" s="30">
        <f>E24*(1-Inputs!$C$15)+Inputs!$C$14</f>
        <v>0</v>
      </c>
      <c r="F25" s="30">
        <f t="shared" si="1"/>
        <v>15.75</v>
      </c>
      <c r="G25" s="23">
        <f>C25*Inputs!$C$6/12</f>
        <v>2187.5</v>
      </c>
      <c r="H25" s="23">
        <f>D25*Inputs!$C$7/12</f>
        <v>3281.25</v>
      </c>
      <c r="I25" s="23">
        <f>E25*Inputs!$C$8/12</f>
        <v>0</v>
      </c>
      <c r="J25" s="23">
        <f t="shared" si="2"/>
        <v>5468.75</v>
      </c>
      <c r="K25" s="23">
        <f>J25*Inputs!$C$16</f>
        <v>1093.75</v>
      </c>
      <c r="L25" s="23">
        <f>Inputs!$C$17</f>
        <v>2625</v>
      </c>
      <c r="M25" s="23">
        <f t="shared" si="3"/>
        <v>1750</v>
      </c>
      <c r="N25" s="23">
        <f t="shared" si="8"/>
        <v>-7000</v>
      </c>
      <c r="O25" s="24">
        <f t="shared" si="4"/>
        <v>0.8</v>
      </c>
      <c r="P25" s="23" t="str">
        <f>IF(Actuals_Monthly!B25="","",Actuals_Monthly!B25)</f>
        <v/>
      </c>
      <c r="Q25" s="23" t="str">
        <f>IF(OR(Actuals_Monthly!B25="",Actuals_Monthly!C25="",Actuals_Monthly!D25=""),"",Actuals_Monthly!B25-Actuals_Monthly!C25-Actuals_Monthly!D25)</f>
        <v/>
      </c>
      <c r="R25" s="23" t="str">
        <f t="shared" si="5"/>
        <v/>
      </c>
      <c r="S25" s="23" t="str">
        <f t="shared" si="6"/>
        <v/>
      </c>
      <c r="T25" s="17" t="str">
        <f t="shared" si="7"/>
        <v>أدخل الفعلي</v>
      </c>
      <c r="U25" s="29">
        <f>IF(N25&gt;=Inputs!$C$5,1,0)</f>
        <v>0</v>
      </c>
    </row>
    <row r="26" spans="1:21" ht="24" customHeight="1">
      <c r="A26" s="17">
        <v>22</v>
      </c>
      <c r="B26" s="17" t="str">
        <f t="shared" si="0"/>
        <v>Q8</v>
      </c>
      <c r="C26" s="30">
        <f>C25*(1-Inputs!$C$15)+Inputs!$C$12</f>
        <v>11</v>
      </c>
      <c r="D26" s="30">
        <f>D25*(1-Inputs!$C$15)+Inputs!$C$13</f>
        <v>5.5</v>
      </c>
      <c r="E26" s="30">
        <f>E25*(1-Inputs!$C$15)+Inputs!$C$14</f>
        <v>0</v>
      </c>
      <c r="F26" s="30">
        <f t="shared" si="1"/>
        <v>16.5</v>
      </c>
      <c r="G26" s="23">
        <f>C26*Inputs!$C$6/12</f>
        <v>2291.6666666666665</v>
      </c>
      <c r="H26" s="23">
        <f>D26*Inputs!$C$7/12</f>
        <v>3437.5</v>
      </c>
      <c r="I26" s="23">
        <f>E26*Inputs!$C$8/12</f>
        <v>0</v>
      </c>
      <c r="J26" s="23">
        <f t="shared" si="2"/>
        <v>5729.1666666666661</v>
      </c>
      <c r="K26" s="23">
        <f>J26*Inputs!$C$16</f>
        <v>1145.8333333333333</v>
      </c>
      <c r="L26" s="23">
        <f>Inputs!$C$17</f>
        <v>2625</v>
      </c>
      <c r="M26" s="23">
        <f t="shared" si="3"/>
        <v>1958.333333333333</v>
      </c>
      <c r="N26" s="23">
        <f t="shared" si="8"/>
        <v>-5041.666666666667</v>
      </c>
      <c r="O26" s="24">
        <f t="shared" si="4"/>
        <v>0.8</v>
      </c>
      <c r="P26" s="23" t="str">
        <f>IF(Actuals_Monthly!B26="","",Actuals_Monthly!B26)</f>
        <v/>
      </c>
      <c r="Q26" s="23" t="str">
        <f>IF(OR(Actuals_Monthly!B26="",Actuals_Monthly!C26="",Actuals_Monthly!D26=""),"",Actuals_Monthly!B26-Actuals_Monthly!C26-Actuals_Monthly!D26)</f>
        <v/>
      </c>
      <c r="R26" s="23" t="str">
        <f t="shared" si="5"/>
        <v/>
      </c>
      <c r="S26" s="23" t="str">
        <f t="shared" si="6"/>
        <v/>
      </c>
      <c r="T26" s="17" t="str">
        <f t="shared" si="7"/>
        <v>أدخل الفعلي</v>
      </c>
      <c r="U26" s="29">
        <f>IF(N26&gt;=Inputs!$C$5,1,0)</f>
        <v>0</v>
      </c>
    </row>
    <row r="27" spans="1:21" ht="24" customHeight="1">
      <c r="A27" s="17">
        <v>23</v>
      </c>
      <c r="B27" s="17" t="str">
        <f t="shared" si="0"/>
        <v>Q8</v>
      </c>
      <c r="C27" s="30">
        <f>C26*(1-Inputs!$C$15)+Inputs!$C$12</f>
        <v>11.5</v>
      </c>
      <c r="D27" s="30">
        <f>D26*(1-Inputs!$C$15)+Inputs!$C$13</f>
        <v>5.75</v>
      </c>
      <c r="E27" s="30">
        <f>E26*(1-Inputs!$C$15)+Inputs!$C$14</f>
        <v>0</v>
      </c>
      <c r="F27" s="30">
        <f t="shared" si="1"/>
        <v>17.25</v>
      </c>
      <c r="G27" s="23">
        <f>C27*Inputs!$C$6/12</f>
        <v>2395.8333333333335</v>
      </c>
      <c r="H27" s="23">
        <f>D27*Inputs!$C$7/12</f>
        <v>3593.75</v>
      </c>
      <c r="I27" s="23">
        <f>E27*Inputs!$C$8/12</f>
        <v>0</v>
      </c>
      <c r="J27" s="23">
        <f t="shared" si="2"/>
        <v>5989.5833333333339</v>
      </c>
      <c r="K27" s="23">
        <f>J27*Inputs!$C$16</f>
        <v>1197.9166666666667</v>
      </c>
      <c r="L27" s="23">
        <f>Inputs!$C$17</f>
        <v>2625</v>
      </c>
      <c r="M27" s="23">
        <f t="shared" si="3"/>
        <v>2166.666666666667</v>
      </c>
      <c r="N27" s="23">
        <f t="shared" si="8"/>
        <v>-2875</v>
      </c>
      <c r="O27" s="24">
        <f t="shared" si="4"/>
        <v>0.79999999999999993</v>
      </c>
      <c r="P27" s="23" t="str">
        <f>IF(Actuals_Monthly!B27="","",Actuals_Monthly!B27)</f>
        <v/>
      </c>
      <c r="Q27" s="23" t="str">
        <f>IF(OR(Actuals_Monthly!B27="",Actuals_Monthly!C27="",Actuals_Monthly!D27=""),"",Actuals_Monthly!B27-Actuals_Monthly!C27-Actuals_Monthly!D27)</f>
        <v/>
      </c>
      <c r="R27" s="23" t="str">
        <f t="shared" si="5"/>
        <v/>
      </c>
      <c r="S27" s="23" t="str">
        <f t="shared" si="6"/>
        <v/>
      </c>
      <c r="T27" s="17" t="str">
        <f t="shared" si="7"/>
        <v>أدخل الفعلي</v>
      </c>
      <c r="U27" s="29">
        <f>IF(N27&gt;=Inputs!$C$5,1,0)</f>
        <v>0</v>
      </c>
    </row>
    <row r="28" spans="1:21" ht="24" customHeight="1">
      <c r="A28" s="17">
        <v>24</v>
      </c>
      <c r="B28" s="17" t="str">
        <f t="shared" si="0"/>
        <v>Q8</v>
      </c>
      <c r="C28" s="30">
        <f>C27*(1-Inputs!$C$15)+Inputs!$C$12</f>
        <v>12</v>
      </c>
      <c r="D28" s="30">
        <f>D27*(1-Inputs!$C$15)+Inputs!$C$13</f>
        <v>6</v>
      </c>
      <c r="E28" s="30">
        <f>E27*(1-Inputs!$C$15)+Inputs!$C$14</f>
        <v>0</v>
      </c>
      <c r="F28" s="30">
        <f t="shared" si="1"/>
        <v>18</v>
      </c>
      <c r="G28" s="23">
        <f>C28*Inputs!$C$6/12</f>
        <v>2500</v>
      </c>
      <c r="H28" s="23">
        <f>D28*Inputs!$C$7/12</f>
        <v>3750</v>
      </c>
      <c r="I28" s="23">
        <f>E28*Inputs!$C$8/12</f>
        <v>0</v>
      </c>
      <c r="J28" s="23">
        <f t="shared" si="2"/>
        <v>6250</v>
      </c>
      <c r="K28" s="23">
        <f>J28*Inputs!$C$16</f>
        <v>1250</v>
      </c>
      <c r="L28" s="23">
        <f>Inputs!$C$17</f>
        <v>2625</v>
      </c>
      <c r="M28" s="23">
        <f t="shared" si="3"/>
        <v>2375</v>
      </c>
      <c r="N28" s="23">
        <f t="shared" si="8"/>
        <v>-500</v>
      </c>
      <c r="O28" s="24">
        <f t="shared" si="4"/>
        <v>0.8</v>
      </c>
      <c r="P28" s="23" t="str">
        <f>IF(Actuals_Monthly!B28="","",Actuals_Monthly!B28)</f>
        <v/>
      </c>
      <c r="Q28" s="23" t="str">
        <f>IF(OR(Actuals_Monthly!B28="",Actuals_Monthly!C28="",Actuals_Monthly!D28=""),"",Actuals_Monthly!B28-Actuals_Monthly!C28-Actuals_Monthly!D28)</f>
        <v/>
      </c>
      <c r="R28" s="23" t="str">
        <f t="shared" si="5"/>
        <v/>
      </c>
      <c r="S28" s="23" t="str">
        <f t="shared" si="6"/>
        <v/>
      </c>
      <c r="T28" s="17" t="str">
        <f t="shared" si="7"/>
        <v>أدخل الفعلي</v>
      </c>
      <c r="U28" s="29">
        <f>IF(N28&gt;=Inputs!$C$5,1,0)</f>
        <v>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2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5703125" defaultRowHeight="15"/>
  <cols>
    <col min="1" max="1" width="3" style="9" customWidth="1"/>
    <col min="2" max="3" width="19" style="9" customWidth="1"/>
    <col min="4" max="4" width="3" style="9" customWidth="1"/>
    <col min="5" max="6" width="19" style="9" customWidth="1"/>
    <col min="7" max="7" width="3" style="9" customWidth="1"/>
    <col min="8" max="9" width="19" style="9" customWidth="1"/>
    <col min="10" max="10" width="3" style="9" customWidth="1"/>
    <col min="11" max="12" width="19" style="9" customWidth="1"/>
    <col min="13" max="13" width="3" style="9" customWidth="1"/>
  </cols>
  <sheetData>
    <row r="1" spans="1:12" ht="33.75" customHeight="1">
      <c r="A1" s="8" t="s">
        <v>126</v>
      </c>
      <c r="B1" s="8"/>
      <c r="C1" s="8"/>
      <c r="D1" s="8"/>
      <c r="E1" s="8"/>
      <c r="F1" s="8"/>
      <c r="G1" s="8"/>
      <c r="H1" s="8"/>
    </row>
    <row r="2" spans="1:12" ht="21.75" customHeight="1">
      <c r="A2" s="6" t="s">
        <v>127</v>
      </c>
      <c r="B2" s="6"/>
      <c r="C2" s="6"/>
      <c r="D2" s="6"/>
      <c r="E2" s="6"/>
      <c r="F2" s="6"/>
      <c r="G2" s="6"/>
      <c r="H2" s="6"/>
    </row>
    <row r="4" spans="1:12" ht="24" customHeight="1">
      <c r="B4" s="31" t="s">
        <v>25</v>
      </c>
      <c r="C4" s="32">
        <f>Inputs!$C$5</f>
        <v>26500</v>
      </c>
      <c r="E4" s="31" t="s">
        <v>128</v>
      </c>
      <c r="F4" s="33">
        <f>Monthly_Model!J16</f>
        <v>3125</v>
      </c>
      <c r="H4" s="31" t="s">
        <v>129</v>
      </c>
      <c r="I4" s="34">
        <f>Monthly_Model!M16</f>
        <v>-125</v>
      </c>
      <c r="K4" s="31" t="s">
        <v>120</v>
      </c>
      <c r="L4" s="35">
        <f>Monthly_Model!O16</f>
        <v>0.8</v>
      </c>
    </row>
    <row r="8" spans="1:12" ht="24" customHeight="1">
      <c r="B8" s="31" t="s">
        <v>130</v>
      </c>
      <c r="C8" s="36">
        <f>IFERROR(Inputs!$C$17/Monthly_Model!$O$16,"")</f>
        <v>3281.25</v>
      </c>
      <c r="E8" s="31" t="s">
        <v>131</v>
      </c>
      <c r="F8" s="37">
        <f>IFERROR(C8/(Monthly_Model!J16/Monthly_Model!F16),"")</f>
        <v>9.4499999999999993</v>
      </c>
      <c r="H8" s="31" t="s">
        <v>132</v>
      </c>
      <c r="I8" s="37" t="str">
        <f>IFERROR(INDEX(Monthly_Model!A5:A28,MATCH(1,Monthly_Model!U5:U28,0)),"غير محققة")</f>
        <v>غير محققة</v>
      </c>
      <c r="K8" s="31" t="s">
        <v>133</v>
      </c>
      <c r="L8" s="36">
        <f>Monthly_Model!N28</f>
        <v>-500</v>
      </c>
    </row>
    <row r="12" spans="1:12" ht="17.25" customHeight="1">
      <c r="B12" s="38" t="s">
        <v>134</v>
      </c>
      <c r="H12" s="38" t="s">
        <v>135</v>
      </c>
    </row>
    <row r="13" spans="1:12" ht="31.5" customHeight="1">
      <c r="B13" s="39" t="s">
        <v>81</v>
      </c>
      <c r="C13" s="39" t="s">
        <v>136</v>
      </c>
      <c r="D13" s="39" t="s">
        <v>83</v>
      </c>
      <c r="E13" s="39" t="s">
        <v>84</v>
      </c>
      <c r="F13" s="39" t="s">
        <v>22</v>
      </c>
      <c r="H13" s="39" t="s">
        <v>137</v>
      </c>
      <c r="I13" s="39" t="s">
        <v>138</v>
      </c>
      <c r="J13" s="39" t="s">
        <v>83</v>
      </c>
      <c r="K13" s="39" t="s">
        <v>139</v>
      </c>
    </row>
    <row r="14" spans="1:12" ht="24" customHeight="1">
      <c r="B14" s="17" t="str">
        <f>Budget_Variance!A5</f>
        <v>بناء المنتج والنسخة التجريبية</v>
      </c>
      <c r="C14" s="23">
        <f>Budget_Variance!B5</f>
        <v>11925</v>
      </c>
      <c r="D14" s="23">
        <f>Budget_Variance!C5</f>
        <v>0</v>
      </c>
      <c r="E14" s="23" t="str">
        <f>Budget_Variance!D5</f>
        <v/>
      </c>
      <c r="F14" s="17" t="str">
        <f>Budget_Variance!F5</f>
        <v>أدخل الفعلي</v>
      </c>
      <c r="H14" s="13" t="s">
        <v>140</v>
      </c>
      <c r="I14" s="24">
        <f>Inputs!C19</f>
        <v>0.9</v>
      </c>
      <c r="J14" s="40"/>
      <c r="K14" s="24" t="str">
        <f>IF(J14="","",J14-I14)</f>
        <v/>
      </c>
    </row>
    <row r="15" spans="1:12" ht="24" customHeight="1">
      <c r="B15" s="17" t="str">
        <f>Budget_Variance!A6</f>
        <v>التكامل والأمان والامتثال التقني</v>
      </c>
      <c r="C15" s="23">
        <f>Budget_Variance!B6</f>
        <v>6625</v>
      </c>
      <c r="D15" s="23">
        <f>Budget_Variance!C6</f>
        <v>0</v>
      </c>
      <c r="E15" s="23" t="str">
        <f>Budget_Variance!D6</f>
        <v/>
      </c>
      <c r="F15" s="17" t="str">
        <f>Budget_Variance!F6</f>
        <v>أدخل الفعلي</v>
      </c>
      <c r="H15" s="13" t="s">
        <v>141</v>
      </c>
      <c r="I15" s="24">
        <f>Inputs!C20</f>
        <v>0.6</v>
      </c>
      <c r="J15" s="40"/>
      <c r="K15" s="24" t="str">
        <f>IF(J15="","",J15-I15)</f>
        <v/>
      </c>
    </row>
    <row r="16" spans="1:12" ht="24" customHeight="1">
      <c r="B16" s="17" t="str">
        <f>Budget_Variance!A7</f>
        <v>إثبات السوق وتجربة العملاء</v>
      </c>
      <c r="C16" s="23">
        <f>Budget_Variance!B7</f>
        <v>5300</v>
      </c>
      <c r="D16" s="23">
        <f>Budget_Variance!C7</f>
        <v>0</v>
      </c>
      <c r="E16" s="23" t="str">
        <f>Budget_Variance!D7</f>
        <v/>
      </c>
      <c r="F16" s="17" t="str">
        <f>Budget_Variance!F7</f>
        <v>أدخل الفعلي</v>
      </c>
    </row>
    <row r="17" spans="2:12" ht="24" customHeight="1">
      <c r="B17" s="17" t="str">
        <f>Budget_Variance!A8</f>
        <v>التشغيل والامتثال الإداري</v>
      </c>
      <c r="C17" s="23">
        <f>Budget_Variance!B8</f>
        <v>2650</v>
      </c>
      <c r="D17" s="23">
        <f>Budget_Variance!C8</f>
        <v>0</v>
      </c>
      <c r="E17" s="23" t="str">
        <f>Budget_Variance!D8</f>
        <v/>
      </c>
      <c r="F17" s="17" t="str">
        <f>Budget_Variance!F8</f>
        <v>أدخل الفعلي</v>
      </c>
    </row>
    <row r="20" spans="2:12" ht="17.25" customHeight="1">
      <c r="B20" s="38" t="s">
        <v>142</v>
      </c>
    </row>
    <row r="21" spans="2:12" ht="42" customHeight="1">
      <c r="B21" s="5" t="s">
        <v>143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2:12" ht="1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3">
    <mergeCell ref="A1:H1"/>
    <mergeCell ref="A2:H2"/>
    <mergeCell ref="B21:L22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24" width="18" style="9" customWidth="1"/>
  </cols>
  <sheetData>
    <row r="1" spans="1:24" ht="31.5" customHeight="1">
      <c r="A1" s="41" t="s">
        <v>144</v>
      </c>
      <c r="B1" s="41" t="s">
        <v>145</v>
      </c>
      <c r="C1" s="41" t="s">
        <v>146</v>
      </c>
      <c r="D1" s="41" t="s">
        <v>147</v>
      </c>
      <c r="E1" s="41" t="s">
        <v>148</v>
      </c>
      <c r="F1" s="41" t="s">
        <v>149</v>
      </c>
      <c r="G1" s="41" t="s">
        <v>150</v>
      </c>
      <c r="H1" s="41" t="s">
        <v>151</v>
      </c>
      <c r="I1" s="41" t="s">
        <v>152</v>
      </c>
      <c r="J1" s="41" t="s">
        <v>153</v>
      </c>
      <c r="K1" s="41" t="s">
        <v>154</v>
      </c>
      <c r="L1" s="41" t="s">
        <v>155</v>
      </c>
      <c r="M1" s="41" t="s">
        <v>156</v>
      </c>
      <c r="N1" s="41" t="s">
        <v>157</v>
      </c>
      <c r="O1" s="41" t="s">
        <v>158</v>
      </c>
      <c r="P1" s="41" t="s">
        <v>159</v>
      </c>
      <c r="Q1" s="41" t="s">
        <v>160</v>
      </c>
      <c r="R1" s="41" t="s">
        <v>161</v>
      </c>
      <c r="S1" s="41" t="s">
        <v>162</v>
      </c>
      <c r="T1" s="41" t="s">
        <v>163</v>
      </c>
      <c r="U1" s="41" t="s">
        <v>164</v>
      </c>
      <c r="V1" s="41" t="s">
        <v>165</v>
      </c>
      <c r="W1" s="41" t="s">
        <v>166</v>
      </c>
      <c r="X1" s="41" t="s">
        <v>167</v>
      </c>
    </row>
    <row r="2" spans="1:24" ht="15" customHeight="1">
      <c r="A2" s="29">
        <v>1</v>
      </c>
      <c r="B2" s="29" t="s">
        <v>168</v>
      </c>
      <c r="C2" s="29">
        <v>0.5</v>
      </c>
      <c r="D2" s="29">
        <v>0.25</v>
      </c>
      <c r="E2" s="29">
        <v>0</v>
      </c>
      <c r="F2" s="29">
        <v>0.75</v>
      </c>
      <c r="G2" s="42">
        <v>104.166666666667</v>
      </c>
      <c r="H2" s="42">
        <v>156.25</v>
      </c>
      <c r="I2" s="42">
        <v>0</v>
      </c>
      <c r="J2" s="42">
        <v>260.41666666666703</v>
      </c>
      <c r="K2" s="42">
        <v>52.0833333333333</v>
      </c>
      <c r="L2" s="42">
        <v>4500</v>
      </c>
      <c r="M2" s="42">
        <v>-4291.6666666666697</v>
      </c>
      <c r="N2" s="42">
        <v>-30791.666666666701</v>
      </c>
      <c r="O2" s="43">
        <v>0.8</v>
      </c>
      <c r="P2" s="42"/>
      <c r="Q2" s="42"/>
      <c r="R2" s="42"/>
      <c r="S2" s="42"/>
      <c r="T2" s="42"/>
      <c r="U2" s="42"/>
      <c r="V2" s="29"/>
      <c r="W2" s="43">
        <v>0.9</v>
      </c>
      <c r="X2" s="43">
        <v>0.6</v>
      </c>
    </row>
    <row r="3" spans="1:24" ht="15" customHeight="1">
      <c r="A3" s="29">
        <v>2</v>
      </c>
      <c r="B3" s="29" t="s">
        <v>168</v>
      </c>
      <c r="C3" s="29">
        <v>1</v>
      </c>
      <c r="D3" s="29">
        <v>0.5</v>
      </c>
      <c r="E3" s="29">
        <v>0</v>
      </c>
      <c r="F3" s="29">
        <v>1.5</v>
      </c>
      <c r="G3" s="42">
        <v>208.333333333333</v>
      </c>
      <c r="H3" s="42">
        <v>312.5</v>
      </c>
      <c r="I3" s="42">
        <v>0</v>
      </c>
      <c r="J3" s="42">
        <v>520.83333333333303</v>
      </c>
      <c r="K3" s="42">
        <v>104.166666666667</v>
      </c>
      <c r="L3" s="42">
        <v>4500</v>
      </c>
      <c r="M3" s="42">
        <v>-4083.3333333333298</v>
      </c>
      <c r="N3" s="42">
        <v>-34875</v>
      </c>
      <c r="O3" s="43">
        <v>0.8</v>
      </c>
      <c r="P3" s="42"/>
      <c r="Q3" s="42"/>
      <c r="R3" s="42"/>
      <c r="S3" s="42"/>
      <c r="T3" s="42"/>
      <c r="U3" s="42"/>
      <c r="V3" s="29"/>
      <c r="W3" s="43">
        <v>0.9</v>
      </c>
      <c r="X3" s="43">
        <v>0.6</v>
      </c>
    </row>
    <row r="4" spans="1:24" ht="15" customHeight="1">
      <c r="A4" s="29">
        <v>3</v>
      </c>
      <c r="B4" s="29" t="s">
        <v>168</v>
      </c>
      <c r="C4" s="29">
        <v>1.5</v>
      </c>
      <c r="D4" s="29">
        <v>0.75</v>
      </c>
      <c r="E4" s="29">
        <v>0</v>
      </c>
      <c r="F4" s="29">
        <v>2.25</v>
      </c>
      <c r="G4" s="42">
        <v>312.5</v>
      </c>
      <c r="H4" s="42">
        <v>468.75</v>
      </c>
      <c r="I4" s="42">
        <v>0</v>
      </c>
      <c r="J4" s="42">
        <v>781.25</v>
      </c>
      <c r="K4" s="42">
        <v>156.25</v>
      </c>
      <c r="L4" s="42">
        <v>4500</v>
      </c>
      <c r="M4" s="42">
        <v>-3875</v>
      </c>
      <c r="N4" s="42">
        <v>-38750</v>
      </c>
      <c r="O4" s="43">
        <v>0.8</v>
      </c>
      <c r="P4" s="42"/>
      <c r="Q4" s="42"/>
      <c r="R4" s="42"/>
      <c r="S4" s="42"/>
      <c r="T4" s="42"/>
      <c r="U4" s="42"/>
      <c r="V4" s="29"/>
      <c r="W4" s="43">
        <v>0.9</v>
      </c>
      <c r="X4" s="43">
        <v>0.6</v>
      </c>
    </row>
    <row r="5" spans="1:24" ht="15" customHeight="1">
      <c r="A5" s="29">
        <v>4</v>
      </c>
      <c r="B5" s="29" t="s">
        <v>169</v>
      </c>
      <c r="C5" s="29">
        <v>2</v>
      </c>
      <c r="D5" s="29">
        <v>1</v>
      </c>
      <c r="E5" s="29">
        <v>0</v>
      </c>
      <c r="F5" s="29">
        <v>3</v>
      </c>
      <c r="G5" s="42">
        <v>416.66666666666703</v>
      </c>
      <c r="H5" s="42">
        <v>625</v>
      </c>
      <c r="I5" s="42">
        <v>0</v>
      </c>
      <c r="J5" s="42">
        <v>1041.6666666666699</v>
      </c>
      <c r="K5" s="42">
        <v>208.333333333333</v>
      </c>
      <c r="L5" s="42">
        <v>4500</v>
      </c>
      <c r="M5" s="42">
        <v>-3666.6666666666702</v>
      </c>
      <c r="N5" s="42">
        <v>-42416.666666666701</v>
      </c>
      <c r="O5" s="43">
        <v>0.8</v>
      </c>
      <c r="P5" s="42"/>
      <c r="Q5" s="42"/>
      <c r="R5" s="42"/>
      <c r="S5" s="42"/>
      <c r="T5" s="42"/>
      <c r="U5" s="42"/>
      <c r="V5" s="29"/>
      <c r="W5" s="43">
        <v>0.9</v>
      </c>
      <c r="X5" s="43">
        <v>0.6</v>
      </c>
    </row>
    <row r="6" spans="1:24" ht="15" customHeight="1">
      <c r="A6" s="29">
        <v>5</v>
      </c>
      <c r="B6" s="29" t="s">
        <v>169</v>
      </c>
      <c r="C6" s="29">
        <v>2.5</v>
      </c>
      <c r="D6" s="29">
        <v>1.25</v>
      </c>
      <c r="E6" s="29">
        <v>0</v>
      </c>
      <c r="F6" s="29">
        <v>3.75</v>
      </c>
      <c r="G6" s="42">
        <v>520.83333333333303</v>
      </c>
      <c r="H6" s="42">
        <v>781.25</v>
      </c>
      <c r="I6" s="42">
        <v>0</v>
      </c>
      <c r="J6" s="42">
        <v>1302.0833333333301</v>
      </c>
      <c r="K6" s="42">
        <v>260.41666666666703</v>
      </c>
      <c r="L6" s="42">
        <v>4500</v>
      </c>
      <c r="M6" s="42">
        <v>-3458.3333333333298</v>
      </c>
      <c r="N6" s="42">
        <v>-45875</v>
      </c>
      <c r="O6" s="43">
        <v>0.8</v>
      </c>
      <c r="P6" s="42"/>
      <c r="Q6" s="42"/>
      <c r="R6" s="42"/>
      <c r="S6" s="42"/>
      <c r="T6" s="42"/>
      <c r="U6" s="42"/>
      <c r="V6" s="29"/>
      <c r="W6" s="43">
        <v>0.9</v>
      </c>
      <c r="X6" s="43">
        <v>0.6</v>
      </c>
    </row>
    <row r="7" spans="1:24" ht="15" customHeight="1">
      <c r="A7" s="29">
        <v>6</v>
      </c>
      <c r="B7" s="29" t="s">
        <v>169</v>
      </c>
      <c r="C7" s="29">
        <v>3</v>
      </c>
      <c r="D7" s="29">
        <v>1.5</v>
      </c>
      <c r="E7" s="29">
        <v>0</v>
      </c>
      <c r="F7" s="29">
        <v>4.5</v>
      </c>
      <c r="G7" s="42">
        <v>625</v>
      </c>
      <c r="H7" s="42">
        <v>937.5</v>
      </c>
      <c r="I7" s="42">
        <v>0</v>
      </c>
      <c r="J7" s="42">
        <v>1562.5</v>
      </c>
      <c r="K7" s="42">
        <v>312.5</v>
      </c>
      <c r="L7" s="42">
        <v>4500</v>
      </c>
      <c r="M7" s="42">
        <v>-3250</v>
      </c>
      <c r="N7" s="42">
        <v>-49125</v>
      </c>
      <c r="O7" s="43">
        <v>0.8</v>
      </c>
      <c r="P7" s="42"/>
      <c r="Q7" s="42"/>
      <c r="R7" s="42"/>
      <c r="S7" s="42"/>
      <c r="T7" s="42"/>
      <c r="U7" s="42"/>
      <c r="V7" s="29"/>
      <c r="W7" s="43">
        <v>0.9</v>
      </c>
      <c r="X7" s="43">
        <v>0.6</v>
      </c>
    </row>
    <row r="8" spans="1:24" ht="15" customHeight="1">
      <c r="A8" s="29">
        <v>7</v>
      </c>
      <c r="B8" s="29" t="s">
        <v>170</v>
      </c>
      <c r="C8" s="29">
        <v>3.5</v>
      </c>
      <c r="D8" s="29">
        <v>1.75</v>
      </c>
      <c r="E8" s="29">
        <v>0</v>
      </c>
      <c r="F8" s="29">
        <v>5.25</v>
      </c>
      <c r="G8" s="42">
        <v>729.16666666666697</v>
      </c>
      <c r="H8" s="42">
        <v>1093.75</v>
      </c>
      <c r="I8" s="42">
        <v>0</v>
      </c>
      <c r="J8" s="42">
        <v>1822.9166666666699</v>
      </c>
      <c r="K8" s="42">
        <v>364.58333333333297</v>
      </c>
      <c r="L8" s="42">
        <v>4500</v>
      </c>
      <c r="M8" s="42">
        <v>-3041.6666666666702</v>
      </c>
      <c r="N8" s="42">
        <v>-52166.666666666701</v>
      </c>
      <c r="O8" s="43">
        <v>0.8</v>
      </c>
      <c r="P8" s="42"/>
      <c r="Q8" s="42"/>
      <c r="R8" s="42"/>
      <c r="S8" s="42"/>
      <c r="T8" s="42"/>
      <c r="U8" s="42"/>
      <c r="V8" s="29"/>
      <c r="W8" s="43">
        <v>0.9</v>
      </c>
      <c r="X8" s="43">
        <v>0.6</v>
      </c>
    </row>
    <row r="9" spans="1:24" ht="15" customHeight="1">
      <c r="A9" s="29">
        <v>8</v>
      </c>
      <c r="B9" s="29" t="s">
        <v>170</v>
      </c>
      <c r="C9" s="29">
        <v>4</v>
      </c>
      <c r="D9" s="29">
        <v>2</v>
      </c>
      <c r="E9" s="29">
        <v>0</v>
      </c>
      <c r="F9" s="29">
        <v>6</v>
      </c>
      <c r="G9" s="42">
        <v>833.33333333333303</v>
      </c>
      <c r="H9" s="42">
        <v>1250</v>
      </c>
      <c r="I9" s="42">
        <v>0</v>
      </c>
      <c r="J9" s="42">
        <v>2083.3333333333298</v>
      </c>
      <c r="K9" s="42">
        <v>416.66666666666703</v>
      </c>
      <c r="L9" s="42">
        <v>4500</v>
      </c>
      <c r="M9" s="42">
        <v>-2833.3333333333298</v>
      </c>
      <c r="N9" s="42">
        <v>-55000</v>
      </c>
      <c r="O9" s="43">
        <v>0.8</v>
      </c>
      <c r="P9" s="42"/>
      <c r="Q9" s="42"/>
      <c r="R9" s="42"/>
      <c r="S9" s="42"/>
      <c r="T9" s="42"/>
      <c r="U9" s="42"/>
      <c r="V9" s="29"/>
      <c r="W9" s="43">
        <v>0.9</v>
      </c>
      <c r="X9" s="43">
        <v>0.6</v>
      </c>
    </row>
    <row r="10" spans="1:24" ht="15" customHeight="1">
      <c r="A10" s="29">
        <v>9</v>
      </c>
      <c r="B10" s="29" t="s">
        <v>170</v>
      </c>
      <c r="C10" s="29">
        <v>4.5</v>
      </c>
      <c r="D10" s="29">
        <v>2.25</v>
      </c>
      <c r="E10" s="29">
        <v>0</v>
      </c>
      <c r="F10" s="29">
        <v>6.75</v>
      </c>
      <c r="G10" s="42">
        <v>937.5</v>
      </c>
      <c r="H10" s="42">
        <v>1406.25</v>
      </c>
      <c r="I10" s="42">
        <v>0</v>
      </c>
      <c r="J10" s="42">
        <v>2343.75</v>
      </c>
      <c r="K10" s="42">
        <v>468.75</v>
      </c>
      <c r="L10" s="42">
        <v>4500</v>
      </c>
      <c r="M10" s="42">
        <v>-2625</v>
      </c>
      <c r="N10" s="42">
        <v>-57625</v>
      </c>
      <c r="O10" s="43">
        <v>0.8</v>
      </c>
      <c r="P10" s="42"/>
      <c r="Q10" s="42"/>
      <c r="R10" s="42"/>
      <c r="S10" s="42"/>
      <c r="T10" s="42"/>
      <c r="U10" s="42"/>
      <c r="V10" s="29"/>
      <c r="W10" s="43">
        <v>0.9</v>
      </c>
      <c r="X10" s="43">
        <v>0.6</v>
      </c>
    </row>
    <row r="11" spans="1:24" ht="15" customHeight="1">
      <c r="A11" s="29">
        <v>10</v>
      </c>
      <c r="B11" s="29" t="s">
        <v>171</v>
      </c>
      <c r="C11" s="29">
        <v>5</v>
      </c>
      <c r="D11" s="29">
        <v>2.5</v>
      </c>
      <c r="E11" s="29">
        <v>0</v>
      </c>
      <c r="F11" s="29">
        <v>7.5</v>
      </c>
      <c r="G11" s="42">
        <v>1041.6666666666699</v>
      </c>
      <c r="H11" s="42">
        <v>1562.5</v>
      </c>
      <c r="I11" s="42">
        <v>0</v>
      </c>
      <c r="J11" s="42">
        <v>2604.1666666666702</v>
      </c>
      <c r="K11" s="42">
        <v>520.83333333333303</v>
      </c>
      <c r="L11" s="42">
        <v>4500</v>
      </c>
      <c r="M11" s="42">
        <v>-2416.6666666666702</v>
      </c>
      <c r="N11" s="42">
        <v>-60041.666666666701</v>
      </c>
      <c r="O11" s="43">
        <v>0.8</v>
      </c>
      <c r="P11" s="42"/>
      <c r="Q11" s="42"/>
      <c r="R11" s="42"/>
      <c r="S11" s="42"/>
      <c r="T11" s="42"/>
      <c r="U11" s="42"/>
      <c r="V11" s="29"/>
      <c r="W11" s="43">
        <v>0.9</v>
      </c>
      <c r="X11" s="43">
        <v>0.6</v>
      </c>
    </row>
    <row r="12" spans="1:24" ht="15" customHeight="1">
      <c r="A12" s="29">
        <v>11</v>
      </c>
      <c r="B12" s="29" t="s">
        <v>171</v>
      </c>
      <c r="C12" s="29">
        <v>5.5</v>
      </c>
      <c r="D12" s="29">
        <v>2.75</v>
      </c>
      <c r="E12" s="29">
        <v>0</v>
      </c>
      <c r="F12" s="29">
        <v>8.25</v>
      </c>
      <c r="G12" s="42">
        <v>1145.8333333333301</v>
      </c>
      <c r="H12" s="42">
        <v>1718.75</v>
      </c>
      <c r="I12" s="42">
        <v>0</v>
      </c>
      <c r="J12" s="42">
        <v>2864.5833333333298</v>
      </c>
      <c r="K12" s="42">
        <v>572.91666666666697</v>
      </c>
      <c r="L12" s="42">
        <v>4500</v>
      </c>
      <c r="M12" s="42">
        <v>-2208.3333333333298</v>
      </c>
      <c r="N12" s="42">
        <v>-62250</v>
      </c>
      <c r="O12" s="43">
        <v>0.8</v>
      </c>
      <c r="P12" s="42"/>
      <c r="Q12" s="42"/>
      <c r="R12" s="42"/>
      <c r="S12" s="42"/>
      <c r="T12" s="42"/>
      <c r="U12" s="42"/>
      <c r="V12" s="29"/>
      <c r="W12" s="43">
        <v>0.9</v>
      </c>
      <c r="X12" s="43">
        <v>0.6</v>
      </c>
    </row>
    <row r="13" spans="1:24" ht="15" customHeight="1">
      <c r="A13" s="29">
        <v>12</v>
      </c>
      <c r="B13" s="29" t="s">
        <v>171</v>
      </c>
      <c r="C13" s="29">
        <v>6</v>
      </c>
      <c r="D13" s="29">
        <v>3</v>
      </c>
      <c r="E13" s="29">
        <v>0</v>
      </c>
      <c r="F13" s="29">
        <v>9</v>
      </c>
      <c r="G13" s="42">
        <v>1250</v>
      </c>
      <c r="H13" s="42">
        <v>1875</v>
      </c>
      <c r="I13" s="42">
        <v>0</v>
      </c>
      <c r="J13" s="42">
        <v>3125</v>
      </c>
      <c r="K13" s="42">
        <v>625</v>
      </c>
      <c r="L13" s="42">
        <v>4500</v>
      </c>
      <c r="M13" s="42">
        <v>-2000</v>
      </c>
      <c r="N13" s="42">
        <v>-64250</v>
      </c>
      <c r="O13" s="43">
        <v>0.8</v>
      </c>
      <c r="P13" s="42"/>
      <c r="Q13" s="42"/>
      <c r="R13" s="42"/>
      <c r="S13" s="42"/>
      <c r="T13" s="42"/>
      <c r="U13" s="42"/>
      <c r="V13" s="29"/>
      <c r="W13" s="43">
        <v>0.9</v>
      </c>
      <c r="X13" s="43">
        <v>0.6</v>
      </c>
    </row>
    <row r="14" spans="1:24" ht="15" customHeight="1">
      <c r="A14" s="29">
        <v>13</v>
      </c>
      <c r="B14" s="29" t="s">
        <v>172</v>
      </c>
      <c r="C14" s="29">
        <v>6.5</v>
      </c>
      <c r="D14" s="29">
        <v>3.25</v>
      </c>
      <c r="E14" s="29">
        <v>0</v>
      </c>
      <c r="F14" s="29">
        <v>9.75</v>
      </c>
      <c r="G14" s="42">
        <v>1354.1666666666699</v>
      </c>
      <c r="H14" s="42">
        <v>2031.25</v>
      </c>
      <c r="I14" s="42">
        <v>0</v>
      </c>
      <c r="J14" s="42">
        <v>3385.4166666666702</v>
      </c>
      <c r="K14" s="42">
        <v>677.08333333333405</v>
      </c>
      <c r="L14" s="42">
        <v>4500</v>
      </c>
      <c r="M14" s="42">
        <v>-1791.6666666666699</v>
      </c>
      <c r="N14" s="42">
        <v>-66041.666666666701</v>
      </c>
      <c r="O14" s="43">
        <v>0.8</v>
      </c>
      <c r="P14" s="42"/>
      <c r="Q14" s="42"/>
      <c r="R14" s="42"/>
      <c r="S14" s="42"/>
      <c r="T14" s="42"/>
      <c r="U14" s="42"/>
      <c r="V14" s="29"/>
      <c r="W14" s="43">
        <v>0.9</v>
      </c>
      <c r="X14" s="43">
        <v>0.6</v>
      </c>
    </row>
    <row r="15" spans="1:24" ht="15" customHeight="1">
      <c r="A15" s="29">
        <v>14</v>
      </c>
      <c r="B15" s="29" t="s">
        <v>172</v>
      </c>
      <c r="C15" s="29">
        <v>7</v>
      </c>
      <c r="D15" s="29">
        <v>3.5</v>
      </c>
      <c r="E15" s="29">
        <v>0</v>
      </c>
      <c r="F15" s="29">
        <v>10.5</v>
      </c>
      <c r="G15" s="42">
        <v>1458.3333333333301</v>
      </c>
      <c r="H15" s="42">
        <v>2187.5</v>
      </c>
      <c r="I15" s="42">
        <v>0</v>
      </c>
      <c r="J15" s="42">
        <v>3645.8333333333298</v>
      </c>
      <c r="K15" s="42">
        <v>729.16666666666697</v>
      </c>
      <c r="L15" s="42">
        <v>4500</v>
      </c>
      <c r="M15" s="42">
        <v>-1583.3333333333301</v>
      </c>
      <c r="N15" s="42">
        <v>-67625</v>
      </c>
      <c r="O15" s="43">
        <v>0.8</v>
      </c>
      <c r="P15" s="42"/>
      <c r="Q15" s="42"/>
      <c r="R15" s="42"/>
      <c r="S15" s="42"/>
      <c r="T15" s="42"/>
      <c r="U15" s="42"/>
      <c r="V15" s="29"/>
      <c r="W15" s="43">
        <v>0.9</v>
      </c>
      <c r="X15" s="43">
        <v>0.6</v>
      </c>
    </row>
    <row r="16" spans="1:24" ht="15" customHeight="1">
      <c r="A16" s="29">
        <v>15</v>
      </c>
      <c r="B16" s="29" t="s">
        <v>172</v>
      </c>
      <c r="C16" s="29">
        <v>7.5</v>
      </c>
      <c r="D16" s="29">
        <v>3.75</v>
      </c>
      <c r="E16" s="29">
        <v>0</v>
      </c>
      <c r="F16" s="29">
        <v>11.25</v>
      </c>
      <c r="G16" s="42">
        <v>1562.5</v>
      </c>
      <c r="H16" s="42">
        <v>2343.75</v>
      </c>
      <c r="I16" s="42">
        <v>0</v>
      </c>
      <c r="J16" s="42">
        <v>3906.25</v>
      </c>
      <c r="K16" s="42">
        <v>781.25</v>
      </c>
      <c r="L16" s="42">
        <v>4500</v>
      </c>
      <c r="M16" s="42">
        <v>-1375</v>
      </c>
      <c r="N16" s="42">
        <v>-69000</v>
      </c>
      <c r="O16" s="43">
        <v>0.8</v>
      </c>
      <c r="P16" s="42"/>
      <c r="Q16" s="42"/>
      <c r="R16" s="42"/>
      <c r="S16" s="42"/>
      <c r="T16" s="42"/>
      <c r="U16" s="42"/>
      <c r="V16" s="29"/>
      <c r="W16" s="43">
        <v>0.9</v>
      </c>
      <c r="X16" s="43">
        <v>0.6</v>
      </c>
    </row>
    <row r="17" spans="1:24" ht="15" customHeight="1">
      <c r="A17" s="29">
        <v>16</v>
      </c>
      <c r="B17" s="29" t="s">
        <v>173</v>
      </c>
      <c r="C17" s="29">
        <v>8</v>
      </c>
      <c r="D17" s="29">
        <v>4</v>
      </c>
      <c r="E17" s="29">
        <v>0</v>
      </c>
      <c r="F17" s="29">
        <v>12</v>
      </c>
      <c r="G17" s="42">
        <v>1666.6666666666699</v>
      </c>
      <c r="H17" s="42">
        <v>2500</v>
      </c>
      <c r="I17" s="42">
        <v>0</v>
      </c>
      <c r="J17" s="42">
        <v>4166.6666666666697</v>
      </c>
      <c r="K17" s="42">
        <v>833.33333333333405</v>
      </c>
      <c r="L17" s="42">
        <v>4500</v>
      </c>
      <c r="M17" s="42">
        <v>-1166.6666666666699</v>
      </c>
      <c r="N17" s="42">
        <v>-70166.666666666701</v>
      </c>
      <c r="O17" s="43">
        <v>0.8</v>
      </c>
      <c r="P17" s="42"/>
      <c r="Q17" s="42"/>
      <c r="R17" s="42"/>
      <c r="S17" s="42"/>
      <c r="T17" s="42"/>
      <c r="U17" s="42"/>
      <c r="V17" s="29"/>
      <c r="W17" s="43">
        <v>0.9</v>
      </c>
      <c r="X17" s="43">
        <v>0.6</v>
      </c>
    </row>
    <row r="18" spans="1:24" ht="15" customHeight="1">
      <c r="A18" s="29">
        <v>17</v>
      </c>
      <c r="B18" s="29" t="s">
        <v>173</v>
      </c>
      <c r="C18" s="29">
        <v>8.5</v>
      </c>
      <c r="D18" s="29">
        <v>4.25</v>
      </c>
      <c r="E18" s="29">
        <v>0</v>
      </c>
      <c r="F18" s="29">
        <v>12.75</v>
      </c>
      <c r="G18" s="42">
        <v>1770.8333333333301</v>
      </c>
      <c r="H18" s="42">
        <v>2656.25</v>
      </c>
      <c r="I18" s="42">
        <v>0</v>
      </c>
      <c r="J18" s="42">
        <v>4427.0833333333303</v>
      </c>
      <c r="K18" s="42">
        <v>885.41666666666697</v>
      </c>
      <c r="L18" s="42">
        <v>4500</v>
      </c>
      <c r="M18" s="42">
        <v>-958.33333333333405</v>
      </c>
      <c r="N18" s="42">
        <v>-71125</v>
      </c>
      <c r="O18" s="43">
        <v>0.8</v>
      </c>
      <c r="P18" s="42"/>
      <c r="Q18" s="42"/>
      <c r="R18" s="42"/>
      <c r="S18" s="42"/>
      <c r="T18" s="42"/>
      <c r="U18" s="42"/>
      <c r="V18" s="29"/>
      <c r="W18" s="43">
        <v>0.9</v>
      </c>
      <c r="X18" s="43">
        <v>0.6</v>
      </c>
    </row>
    <row r="19" spans="1:24" ht="15" customHeight="1">
      <c r="A19" s="29">
        <v>18</v>
      </c>
      <c r="B19" s="29" t="s">
        <v>173</v>
      </c>
      <c r="C19" s="29">
        <v>9</v>
      </c>
      <c r="D19" s="29">
        <v>4.5</v>
      </c>
      <c r="E19" s="29">
        <v>0</v>
      </c>
      <c r="F19" s="29">
        <v>13.5</v>
      </c>
      <c r="G19" s="42">
        <v>1875</v>
      </c>
      <c r="H19" s="42">
        <v>2812.5</v>
      </c>
      <c r="I19" s="42">
        <v>0</v>
      </c>
      <c r="J19" s="42">
        <v>4687.5</v>
      </c>
      <c r="K19" s="42">
        <v>937.5</v>
      </c>
      <c r="L19" s="42">
        <v>4500</v>
      </c>
      <c r="M19" s="42">
        <v>-750</v>
      </c>
      <c r="N19" s="42">
        <v>-71875</v>
      </c>
      <c r="O19" s="43">
        <v>0.8</v>
      </c>
      <c r="P19" s="42"/>
      <c r="Q19" s="42"/>
      <c r="R19" s="42"/>
      <c r="S19" s="42"/>
      <c r="T19" s="42"/>
      <c r="U19" s="42"/>
      <c r="V19" s="29"/>
      <c r="W19" s="43">
        <v>0.9</v>
      </c>
      <c r="X19" s="43">
        <v>0.6</v>
      </c>
    </row>
    <row r="20" spans="1:24" ht="15" customHeight="1">
      <c r="A20" s="29">
        <v>19</v>
      </c>
      <c r="B20" s="29" t="s">
        <v>174</v>
      </c>
      <c r="C20" s="29">
        <v>9.5</v>
      </c>
      <c r="D20" s="29">
        <v>4.75</v>
      </c>
      <c r="E20" s="29">
        <v>0</v>
      </c>
      <c r="F20" s="29">
        <v>14.25</v>
      </c>
      <c r="G20" s="42">
        <v>1979.1666666666699</v>
      </c>
      <c r="H20" s="42">
        <v>2968.75</v>
      </c>
      <c r="I20" s="42">
        <v>0</v>
      </c>
      <c r="J20" s="42">
        <v>4947.9166666666697</v>
      </c>
      <c r="K20" s="42">
        <v>989.58333333333405</v>
      </c>
      <c r="L20" s="42">
        <v>4500</v>
      </c>
      <c r="M20" s="42">
        <v>-541.66666666666697</v>
      </c>
      <c r="N20" s="42">
        <v>-72416.666666666701</v>
      </c>
      <c r="O20" s="43">
        <v>0.8</v>
      </c>
      <c r="P20" s="42"/>
      <c r="Q20" s="42"/>
      <c r="R20" s="42"/>
      <c r="S20" s="42"/>
      <c r="T20" s="42"/>
      <c r="U20" s="42"/>
      <c r="V20" s="29"/>
      <c r="W20" s="43">
        <v>0.9</v>
      </c>
      <c r="X20" s="43">
        <v>0.6</v>
      </c>
    </row>
    <row r="21" spans="1:24" ht="15" customHeight="1">
      <c r="A21" s="29">
        <v>20</v>
      </c>
      <c r="B21" s="29" t="s">
        <v>174</v>
      </c>
      <c r="C21" s="29">
        <v>10</v>
      </c>
      <c r="D21" s="29">
        <v>5</v>
      </c>
      <c r="E21" s="29">
        <v>0</v>
      </c>
      <c r="F21" s="29">
        <v>15</v>
      </c>
      <c r="G21" s="42">
        <v>2083.3333333333298</v>
      </c>
      <c r="H21" s="42">
        <v>3125</v>
      </c>
      <c r="I21" s="42">
        <v>0</v>
      </c>
      <c r="J21" s="42">
        <v>5208.3333333333303</v>
      </c>
      <c r="K21" s="42">
        <v>1041.6666666666699</v>
      </c>
      <c r="L21" s="42">
        <v>4500</v>
      </c>
      <c r="M21" s="42">
        <v>-333.33333333333297</v>
      </c>
      <c r="N21" s="42">
        <v>-72750</v>
      </c>
      <c r="O21" s="43">
        <v>0.8</v>
      </c>
      <c r="P21" s="42"/>
      <c r="Q21" s="42"/>
      <c r="R21" s="42"/>
      <c r="S21" s="42"/>
      <c r="T21" s="42"/>
      <c r="U21" s="42"/>
      <c r="V21" s="29"/>
      <c r="W21" s="43">
        <v>0.9</v>
      </c>
      <c r="X21" s="43">
        <v>0.6</v>
      </c>
    </row>
    <row r="22" spans="1:24" ht="15" customHeight="1">
      <c r="A22" s="29">
        <v>21</v>
      </c>
      <c r="B22" s="29" t="s">
        <v>174</v>
      </c>
      <c r="C22" s="29">
        <v>10.5</v>
      </c>
      <c r="D22" s="29">
        <v>5.25</v>
      </c>
      <c r="E22" s="29">
        <v>0</v>
      </c>
      <c r="F22" s="29">
        <v>15.75</v>
      </c>
      <c r="G22" s="42">
        <v>2187.5</v>
      </c>
      <c r="H22" s="42">
        <v>3281.25</v>
      </c>
      <c r="I22" s="42">
        <v>0</v>
      </c>
      <c r="J22" s="42">
        <v>5468.75</v>
      </c>
      <c r="K22" s="42">
        <v>1093.75</v>
      </c>
      <c r="L22" s="42">
        <v>4500</v>
      </c>
      <c r="M22" s="42">
        <v>-125</v>
      </c>
      <c r="N22" s="42">
        <v>-72875</v>
      </c>
      <c r="O22" s="43">
        <v>0.8</v>
      </c>
      <c r="P22" s="42"/>
      <c r="Q22" s="42"/>
      <c r="R22" s="42"/>
      <c r="S22" s="42"/>
      <c r="T22" s="42"/>
      <c r="U22" s="42"/>
      <c r="V22" s="29"/>
      <c r="W22" s="43">
        <v>0.9</v>
      </c>
      <c r="X22" s="43">
        <v>0.6</v>
      </c>
    </row>
    <row r="23" spans="1:24" ht="15" customHeight="1">
      <c r="A23" s="29">
        <v>22</v>
      </c>
      <c r="B23" s="29" t="s">
        <v>175</v>
      </c>
      <c r="C23" s="29">
        <v>11</v>
      </c>
      <c r="D23" s="29">
        <v>5.5</v>
      </c>
      <c r="E23" s="29">
        <v>0</v>
      </c>
      <c r="F23" s="29">
        <v>16.5</v>
      </c>
      <c r="G23" s="42">
        <v>2291.6666666666702</v>
      </c>
      <c r="H23" s="42">
        <v>3437.5</v>
      </c>
      <c r="I23" s="42">
        <v>0</v>
      </c>
      <c r="J23" s="42">
        <v>5729.1666666666697</v>
      </c>
      <c r="K23" s="42">
        <v>1145.8333333333301</v>
      </c>
      <c r="L23" s="42">
        <v>4500</v>
      </c>
      <c r="M23" s="42">
        <v>83.333333333333002</v>
      </c>
      <c r="N23" s="42">
        <v>-72791.666666666701</v>
      </c>
      <c r="O23" s="43">
        <v>0.8</v>
      </c>
      <c r="P23" s="42"/>
      <c r="Q23" s="42"/>
      <c r="R23" s="42"/>
      <c r="S23" s="42"/>
      <c r="T23" s="42"/>
      <c r="U23" s="42"/>
      <c r="V23" s="29"/>
      <c r="W23" s="43">
        <v>0.9</v>
      </c>
      <c r="X23" s="43">
        <v>0.6</v>
      </c>
    </row>
    <row r="24" spans="1:24" ht="15" customHeight="1">
      <c r="A24" s="29">
        <v>23</v>
      </c>
      <c r="B24" s="29" t="s">
        <v>175</v>
      </c>
      <c r="C24" s="29">
        <v>11.5</v>
      </c>
      <c r="D24" s="29">
        <v>5.75</v>
      </c>
      <c r="E24" s="29">
        <v>0</v>
      </c>
      <c r="F24" s="29">
        <v>17.25</v>
      </c>
      <c r="G24" s="42">
        <v>2395.8333333333298</v>
      </c>
      <c r="H24" s="42">
        <v>3593.75</v>
      </c>
      <c r="I24" s="42">
        <v>0</v>
      </c>
      <c r="J24" s="42">
        <v>5989.5833333333303</v>
      </c>
      <c r="K24" s="42">
        <v>1197.9166666666699</v>
      </c>
      <c r="L24" s="42">
        <v>4500</v>
      </c>
      <c r="M24" s="42">
        <v>291.66666666666703</v>
      </c>
      <c r="N24" s="42">
        <v>-72500</v>
      </c>
      <c r="O24" s="43">
        <v>0.8</v>
      </c>
      <c r="P24" s="42"/>
      <c r="Q24" s="42"/>
      <c r="R24" s="42"/>
      <c r="S24" s="42"/>
      <c r="T24" s="42"/>
      <c r="U24" s="42"/>
      <c r="V24" s="29"/>
      <c r="W24" s="43">
        <v>0.9</v>
      </c>
      <c r="X24" s="43">
        <v>0.6</v>
      </c>
    </row>
    <row r="25" spans="1:24" ht="15" customHeight="1">
      <c r="A25" s="29">
        <v>24</v>
      </c>
      <c r="B25" s="29" t="s">
        <v>175</v>
      </c>
      <c r="C25" s="29">
        <v>12</v>
      </c>
      <c r="D25" s="29">
        <v>6</v>
      </c>
      <c r="E25" s="29">
        <v>0</v>
      </c>
      <c r="F25" s="29">
        <v>18</v>
      </c>
      <c r="G25" s="42">
        <v>2500</v>
      </c>
      <c r="H25" s="42">
        <v>3750</v>
      </c>
      <c r="I25" s="42">
        <v>0</v>
      </c>
      <c r="J25" s="42">
        <v>6250</v>
      </c>
      <c r="K25" s="42">
        <v>1250</v>
      </c>
      <c r="L25" s="42">
        <v>4500</v>
      </c>
      <c r="M25" s="42">
        <v>500</v>
      </c>
      <c r="N25" s="42">
        <v>-72000</v>
      </c>
      <c r="O25" s="43">
        <v>0.8</v>
      </c>
      <c r="P25" s="42"/>
      <c r="Q25" s="42"/>
      <c r="R25" s="42"/>
      <c r="S25" s="42"/>
      <c r="T25" s="42"/>
      <c r="U25" s="42"/>
      <c r="V25" s="29"/>
      <c r="W25" s="43">
        <v>0.9</v>
      </c>
      <c r="X25" s="43">
        <v>0.6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5703125" defaultRowHeight="15"/>
  <cols>
    <col min="1" max="2" width="18" style="9" customWidth="1"/>
    <col min="3" max="3" width="20" style="9" customWidth="1"/>
    <col min="4" max="4" width="24" style="9" customWidth="1"/>
    <col min="5" max="5" width="26" style="9" customWidth="1"/>
    <col min="6" max="6" width="18" style="9" customWidth="1"/>
    <col min="7" max="7" width="20" style="9" customWidth="1"/>
    <col min="8" max="8" width="38" style="9" customWidth="1"/>
  </cols>
  <sheetData>
    <row r="1" spans="1:8" ht="33.75" customHeight="1">
      <c r="A1" s="8" t="s">
        <v>176</v>
      </c>
      <c r="B1" s="8"/>
      <c r="C1" s="8"/>
      <c r="D1" s="8"/>
      <c r="E1" s="8"/>
      <c r="F1" s="8"/>
      <c r="G1" s="8"/>
      <c r="H1" s="8"/>
    </row>
    <row r="2" spans="1:8" ht="21.75" customHeight="1">
      <c r="A2" s="6" t="s">
        <v>177</v>
      </c>
      <c r="B2" s="6"/>
      <c r="C2" s="6"/>
      <c r="D2" s="6"/>
      <c r="E2" s="6"/>
      <c r="F2" s="6"/>
      <c r="G2" s="6"/>
      <c r="H2" s="6"/>
    </row>
    <row r="4" spans="1:8" ht="31.5" customHeight="1">
      <c r="A4" s="12" t="s">
        <v>178</v>
      </c>
      <c r="B4" s="12" t="s">
        <v>179</v>
      </c>
      <c r="C4" s="12" t="s">
        <v>180</v>
      </c>
      <c r="D4" s="12" t="s">
        <v>181</v>
      </c>
      <c r="E4" s="12" t="s">
        <v>182</v>
      </c>
      <c r="F4" s="12" t="s">
        <v>183</v>
      </c>
      <c r="G4" s="12" t="s">
        <v>184</v>
      </c>
      <c r="H4" s="12" t="s">
        <v>185</v>
      </c>
    </row>
    <row r="5" spans="1:8" ht="15.75" customHeight="1">
      <c r="A5" s="13" t="s">
        <v>186</v>
      </c>
      <c r="B5" s="23">
        <v>2200</v>
      </c>
      <c r="C5" s="23">
        <v>6500</v>
      </c>
      <c r="D5" s="30">
        <v>0.25</v>
      </c>
      <c r="E5" s="30">
        <v>0.1</v>
      </c>
      <c r="F5" s="24">
        <v>0.3</v>
      </c>
      <c r="G5" s="23">
        <f>Inputs!$C$17/(1-F5)</f>
        <v>3750.0000000000005</v>
      </c>
      <c r="H5" s="13" t="s">
        <v>187</v>
      </c>
    </row>
    <row r="6" spans="1:8" ht="15.75" customHeight="1">
      <c r="A6" s="13" t="s">
        <v>188</v>
      </c>
      <c r="B6" s="23">
        <v>2500</v>
      </c>
      <c r="C6" s="23">
        <v>7500</v>
      </c>
      <c r="D6" s="44">
        <v>0.5</v>
      </c>
      <c r="E6" s="44">
        <v>0.3</v>
      </c>
      <c r="F6" s="24">
        <v>0.2</v>
      </c>
      <c r="G6" s="23">
        <f>Inputs!$C$17/(1-F6)</f>
        <v>3281.25</v>
      </c>
      <c r="H6" s="13" t="s">
        <v>187</v>
      </c>
    </row>
    <row r="7" spans="1:8" ht="15.75" customHeight="1">
      <c r="A7" s="13" t="s">
        <v>189</v>
      </c>
      <c r="B7" s="23">
        <v>2800</v>
      </c>
      <c r="C7" s="23">
        <v>8500</v>
      </c>
      <c r="D7" s="30">
        <v>0.75</v>
      </c>
      <c r="E7" s="30">
        <v>0.4</v>
      </c>
      <c r="F7" s="24">
        <v>0.15</v>
      </c>
      <c r="G7" s="23">
        <f>Inputs!$C$17/(1-F7)</f>
        <v>3088.2352941176473</v>
      </c>
      <c r="H7" s="13" t="s">
        <v>187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33"/>
  <sheetViews>
    <sheetView showGridLines="0" tabSelected="1" topLeftCell="I1" zoomScaleNormal="100" workbookViewId="0">
      <selection activeCell="J6" sqref="J6"/>
    </sheetView>
  </sheetViews>
  <sheetFormatPr defaultColWidth="8.5703125" defaultRowHeight="15"/>
  <cols>
    <col min="1" max="1" width="14" customWidth="1"/>
    <col min="2" max="3" width="10" customWidth="1"/>
    <col min="4" max="4" width="18" customWidth="1"/>
    <col min="5" max="5" width="22" customWidth="1"/>
    <col min="6" max="6" width="16" customWidth="1"/>
    <col min="7" max="7" width="18" customWidth="1"/>
    <col min="8" max="9" width="20" customWidth="1"/>
    <col min="10" max="10" width="28" customWidth="1"/>
    <col min="12" max="15" width="18" customWidth="1"/>
  </cols>
  <sheetData>
    <row r="1" spans="1:10" ht="27.75">
      <c r="A1" s="4" t="s">
        <v>190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3" t="s">
        <v>191</v>
      </c>
      <c r="B2" s="3"/>
      <c r="C2" s="3"/>
      <c r="D2" s="3"/>
      <c r="E2" s="3"/>
      <c r="F2" s="3"/>
      <c r="G2" s="3"/>
      <c r="H2" s="3"/>
      <c r="I2" s="3"/>
      <c r="J2" s="3"/>
    </row>
    <row r="4" spans="1:10">
      <c r="A4" s="45" t="s">
        <v>178</v>
      </c>
      <c r="B4" s="45" t="s">
        <v>98</v>
      </c>
      <c r="C4" s="45" t="s">
        <v>192</v>
      </c>
      <c r="D4" s="45" t="s">
        <v>193</v>
      </c>
      <c r="E4" s="45" t="s">
        <v>194</v>
      </c>
      <c r="F4" s="45" t="s">
        <v>111</v>
      </c>
      <c r="G4" s="45" t="s">
        <v>195</v>
      </c>
      <c r="H4" s="45" t="s">
        <v>196</v>
      </c>
      <c r="I4" s="45" t="s">
        <v>197</v>
      </c>
      <c r="J4" s="45" t="s">
        <v>198</v>
      </c>
    </row>
    <row r="5" spans="1:10">
      <c r="A5" s="46" t="s">
        <v>186</v>
      </c>
      <c r="B5" s="46">
        <v>1</v>
      </c>
      <c r="C5" s="46">
        <v>1</v>
      </c>
      <c r="D5" s="47">
        <f>Inputs!$C$9*(1-Inputs!$C$15)+Sensitivity!$D$5</f>
        <v>0.25</v>
      </c>
      <c r="E5" s="47">
        <f>Inputs!$C$10*(1-Inputs!$C$15)+Sensitivity!$E$5</f>
        <v>0.1</v>
      </c>
      <c r="F5" s="48">
        <f t="shared" ref="F5:F36" si="0">D5+E5</f>
        <v>0.35</v>
      </c>
      <c r="G5" s="49">
        <f>D5*Sensitivity!$B$5/12+E5*Sensitivity!$C$5/12</f>
        <v>100</v>
      </c>
      <c r="H5" s="49">
        <f>G5*Sensitivity!$F$5</f>
        <v>30</v>
      </c>
      <c r="I5" s="49">
        <f>G5-H5-Inputs!$C$17</f>
        <v>-2555</v>
      </c>
      <c r="J5" s="49">
        <f>Inputs!$C$5+I5</f>
        <v>23945</v>
      </c>
    </row>
    <row r="6" spans="1:10">
      <c r="A6" s="46" t="s">
        <v>186</v>
      </c>
      <c r="B6" s="46">
        <v>2</v>
      </c>
      <c r="C6" s="46">
        <v>1</v>
      </c>
      <c r="D6" s="47">
        <f>D5*(1-Inputs!$C$15)+Sensitivity!$D$5</f>
        <v>0.5</v>
      </c>
      <c r="E6" s="47">
        <f>E5*(1-Inputs!$C$15)+Sensitivity!$E$5</f>
        <v>0.2</v>
      </c>
      <c r="F6" s="48">
        <f t="shared" si="0"/>
        <v>0.7</v>
      </c>
      <c r="G6" s="49">
        <f>D6*Sensitivity!$B$5/12+E6*Sensitivity!$C$5/12</f>
        <v>200</v>
      </c>
      <c r="H6" s="49">
        <f>G6*Sensitivity!$F$5</f>
        <v>60</v>
      </c>
      <c r="I6" s="49">
        <f>G6-H6-Inputs!$C$17</f>
        <v>-2485</v>
      </c>
      <c r="J6" s="49">
        <f t="shared" ref="J6:J40" si="1">J5+I6</f>
        <v>21460</v>
      </c>
    </row>
    <row r="7" spans="1:10">
      <c r="A7" s="46" t="s">
        <v>186</v>
      </c>
      <c r="B7" s="46">
        <v>3</v>
      </c>
      <c r="C7" s="46">
        <v>1</v>
      </c>
      <c r="D7" s="47">
        <f>D6*(1-Inputs!$C$15)+Sensitivity!$D$5</f>
        <v>0.75</v>
      </c>
      <c r="E7" s="47">
        <f>E6*(1-Inputs!$C$15)+Sensitivity!$E$5</f>
        <v>0.30000000000000004</v>
      </c>
      <c r="F7" s="48">
        <f t="shared" si="0"/>
        <v>1.05</v>
      </c>
      <c r="G7" s="49">
        <f>D7*Sensitivity!$B$5/12+E7*Sensitivity!$C$5/12</f>
        <v>300</v>
      </c>
      <c r="H7" s="49">
        <f>G7*Sensitivity!$F$5</f>
        <v>90</v>
      </c>
      <c r="I7" s="49">
        <f>G7-H7-Inputs!$C$17</f>
        <v>-2415</v>
      </c>
      <c r="J7" s="49">
        <f t="shared" si="1"/>
        <v>19045</v>
      </c>
    </row>
    <row r="8" spans="1:10">
      <c r="A8" s="46" t="s">
        <v>186</v>
      </c>
      <c r="B8" s="46">
        <v>4</v>
      </c>
      <c r="C8" s="46">
        <v>1</v>
      </c>
      <c r="D8" s="47">
        <f>D7*(1-Inputs!$C$15)+Sensitivity!$D$5</f>
        <v>1</v>
      </c>
      <c r="E8" s="47">
        <f>E7*(1-Inputs!$C$15)+Sensitivity!$E$5</f>
        <v>0.4</v>
      </c>
      <c r="F8" s="48">
        <f t="shared" si="0"/>
        <v>1.4</v>
      </c>
      <c r="G8" s="49">
        <f>D8*Sensitivity!$B$5/12+E8*Sensitivity!$C$5/12</f>
        <v>400</v>
      </c>
      <c r="H8" s="49">
        <f>G8*Sensitivity!$F$5</f>
        <v>120</v>
      </c>
      <c r="I8" s="49">
        <f>G8-H8-Inputs!$C$17</f>
        <v>-2345</v>
      </c>
      <c r="J8" s="49">
        <f t="shared" si="1"/>
        <v>16700</v>
      </c>
    </row>
    <row r="9" spans="1:10">
      <c r="A9" s="46" t="s">
        <v>186</v>
      </c>
      <c r="B9" s="46">
        <v>5</v>
      </c>
      <c r="C9" s="46">
        <v>1</v>
      </c>
      <c r="D9" s="47">
        <f>D8*(1-Inputs!$C$15)+Sensitivity!$D$5</f>
        <v>1.25</v>
      </c>
      <c r="E9" s="47">
        <f>E8*(1-Inputs!$C$15)+Sensitivity!$E$5</f>
        <v>0.5</v>
      </c>
      <c r="F9" s="48">
        <f t="shared" si="0"/>
        <v>1.75</v>
      </c>
      <c r="G9" s="49">
        <f>D9*Sensitivity!$B$5/12+E9*Sensitivity!$C$5/12</f>
        <v>500</v>
      </c>
      <c r="H9" s="49">
        <f>G9*Sensitivity!$F$5</f>
        <v>150</v>
      </c>
      <c r="I9" s="49">
        <f>G9-H9-Inputs!$C$17</f>
        <v>-2275</v>
      </c>
      <c r="J9" s="49">
        <f t="shared" si="1"/>
        <v>14425</v>
      </c>
    </row>
    <row r="10" spans="1:10">
      <c r="A10" s="46" t="s">
        <v>186</v>
      </c>
      <c r="B10" s="46">
        <v>6</v>
      </c>
      <c r="C10" s="46">
        <v>1</v>
      </c>
      <c r="D10" s="47">
        <f>D9*(1-Inputs!$C$15)+Sensitivity!$D$5</f>
        <v>1.5</v>
      </c>
      <c r="E10" s="47">
        <f>E9*(1-Inputs!$C$15)+Sensitivity!$E$5</f>
        <v>0.6</v>
      </c>
      <c r="F10" s="48">
        <f t="shared" si="0"/>
        <v>2.1</v>
      </c>
      <c r="G10" s="49">
        <f>D10*Sensitivity!$B$5/12+E10*Sensitivity!$C$5/12</f>
        <v>600</v>
      </c>
      <c r="H10" s="49">
        <f>G10*Sensitivity!$F$5</f>
        <v>180</v>
      </c>
      <c r="I10" s="49">
        <f>G10-H10-Inputs!$C$17</f>
        <v>-2205</v>
      </c>
      <c r="J10" s="49">
        <f t="shared" si="1"/>
        <v>12220</v>
      </c>
    </row>
    <row r="11" spans="1:10">
      <c r="A11" s="46" t="s">
        <v>186</v>
      </c>
      <c r="B11" s="46">
        <v>7</v>
      </c>
      <c r="C11" s="46">
        <v>1</v>
      </c>
      <c r="D11" s="47">
        <f>D10*(1-Inputs!$C$15)+Sensitivity!$D$5</f>
        <v>1.75</v>
      </c>
      <c r="E11" s="47">
        <f>E10*(1-Inputs!$C$15)+Sensitivity!$E$5</f>
        <v>0.7</v>
      </c>
      <c r="F11" s="48">
        <f t="shared" si="0"/>
        <v>2.4500000000000002</v>
      </c>
      <c r="G11" s="49">
        <f>D11*Sensitivity!$B$5/12+E11*Sensitivity!$C$5/12</f>
        <v>700</v>
      </c>
      <c r="H11" s="49">
        <f>G11*Sensitivity!$F$5</f>
        <v>210</v>
      </c>
      <c r="I11" s="49">
        <f>G11-H11-Inputs!$C$17</f>
        <v>-2135</v>
      </c>
      <c r="J11" s="49">
        <f t="shared" si="1"/>
        <v>10085</v>
      </c>
    </row>
    <row r="12" spans="1:10">
      <c r="A12" s="46" t="s">
        <v>186</v>
      </c>
      <c r="B12" s="46">
        <v>8</v>
      </c>
      <c r="C12" s="46">
        <v>1</v>
      </c>
      <c r="D12" s="47">
        <f>D11*(1-Inputs!$C$15)+Sensitivity!$D$5</f>
        <v>2</v>
      </c>
      <c r="E12" s="47">
        <f>E11*(1-Inputs!$C$15)+Sensitivity!$E$5</f>
        <v>0.79999999999999993</v>
      </c>
      <c r="F12" s="48">
        <f t="shared" si="0"/>
        <v>2.8</v>
      </c>
      <c r="G12" s="49">
        <f>D12*Sensitivity!$B$5/12+E12*Sensitivity!$C$5/12</f>
        <v>800</v>
      </c>
      <c r="H12" s="49">
        <f>G12*Sensitivity!$F$5</f>
        <v>240</v>
      </c>
      <c r="I12" s="49">
        <f>G12-H12-Inputs!$C$17</f>
        <v>-2065</v>
      </c>
      <c r="J12" s="49">
        <f t="shared" si="1"/>
        <v>8020</v>
      </c>
    </row>
    <row r="13" spans="1:10">
      <c r="A13" s="46" t="s">
        <v>186</v>
      </c>
      <c r="B13" s="46">
        <v>9</v>
      </c>
      <c r="C13" s="46">
        <v>1</v>
      </c>
      <c r="D13" s="47">
        <f>D12*(1-Inputs!$C$15)+Sensitivity!$D$5</f>
        <v>2.25</v>
      </c>
      <c r="E13" s="47">
        <f>E12*(1-Inputs!$C$15)+Sensitivity!$E$5</f>
        <v>0.89999999999999991</v>
      </c>
      <c r="F13" s="48">
        <f t="shared" si="0"/>
        <v>3.15</v>
      </c>
      <c r="G13" s="49">
        <f>D13*Sensitivity!$B$5/12+E13*Sensitivity!$C$5/12</f>
        <v>900</v>
      </c>
      <c r="H13" s="49">
        <f>G13*Sensitivity!$F$5</f>
        <v>270</v>
      </c>
      <c r="I13" s="49">
        <f>G13-H13-Inputs!$C$17</f>
        <v>-1995</v>
      </c>
      <c r="J13" s="49">
        <f t="shared" si="1"/>
        <v>6025</v>
      </c>
    </row>
    <row r="14" spans="1:10">
      <c r="A14" s="46" t="s">
        <v>186</v>
      </c>
      <c r="B14" s="46">
        <v>10</v>
      </c>
      <c r="C14" s="46">
        <v>1</v>
      </c>
      <c r="D14" s="47">
        <f>D13*(1-Inputs!$C$15)+Sensitivity!$D$5</f>
        <v>2.5</v>
      </c>
      <c r="E14" s="47">
        <f>E13*(1-Inputs!$C$15)+Sensitivity!$E$5</f>
        <v>0.99999999999999989</v>
      </c>
      <c r="F14" s="48">
        <f t="shared" si="0"/>
        <v>3.5</v>
      </c>
      <c r="G14" s="49">
        <f>D14*Sensitivity!$B$5/12+E14*Sensitivity!$C$5/12</f>
        <v>1000</v>
      </c>
      <c r="H14" s="49">
        <f>G14*Sensitivity!$F$5</f>
        <v>300</v>
      </c>
      <c r="I14" s="49">
        <f>G14-H14-Inputs!$C$17</f>
        <v>-1925</v>
      </c>
      <c r="J14" s="49">
        <f t="shared" si="1"/>
        <v>4100</v>
      </c>
    </row>
    <row r="15" spans="1:10">
      <c r="A15" s="46" t="s">
        <v>186</v>
      </c>
      <c r="B15" s="46">
        <v>11</v>
      </c>
      <c r="C15" s="46">
        <v>1</v>
      </c>
      <c r="D15" s="47">
        <f>D14*(1-Inputs!$C$15)+Sensitivity!$D$5</f>
        <v>2.75</v>
      </c>
      <c r="E15" s="47">
        <f>E14*(1-Inputs!$C$15)+Sensitivity!$E$5</f>
        <v>1.0999999999999999</v>
      </c>
      <c r="F15" s="48">
        <f t="shared" si="0"/>
        <v>3.8499999999999996</v>
      </c>
      <c r="G15" s="49">
        <f>D15*Sensitivity!$B$5/12+E15*Sensitivity!$C$5/12</f>
        <v>1100</v>
      </c>
      <c r="H15" s="49">
        <f>G15*Sensitivity!$F$5</f>
        <v>330</v>
      </c>
      <c r="I15" s="49">
        <f>G15-H15-Inputs!$C$17</f>
        <v>-1855</v>
      </c>
      <c r="J15" s="49">
        <f t="shared" si="1"/>
        <v>2245</v>
      </c>
    </row>
    <row r="16" spans="1:10">
      <c r="A16" s="46" t="s">
        <v>186</v>
      </c>
      <c r="B16" s="46">
        <v>12</v>
      </c>
      <c r="C16" s="46">
        <v>1</v>
      </c>
      <c r="D16" s="47">
        <f>D15*(1-Inputs!$C$15)+Sensitivity!$D$5</f>
        <v>3</v>
      </c>
      <c r="E16" s="47">
        <f>E15*(1-Inputs!$C$15)+Sensitivity!$E$5</f>
        <v>1.2</v>
      </c>
      <c r="F16" s="48">
        <f t="shared" si="0"/>
        <v>4.2</v>
      </c>
      <c r="G16" s="49">
        <f>D16*Sensitivity!$B$5/12+E16*Sensitivity!$C$5/12</f>
        <v>1200</v>
      </c>
      <c r="H16" s="49">
        <f>G16*Sensitivity!$F$5</f>
        <v>360</v>
      </c>
      <c r="I16" s="49">
        <f>G16-H16-Inputs!$C$17</f>
        <v>-1785</v>
      </c>
      <c r="J16" s="49">
        <f t="shared" si="1"/>
        <v>460</v>
      </c>
    </row>
    <row r="17" spans="1:10">
      <c r="A17" s="46" t="s">
        <v>186</v>
      </c>
      <c r="B17" s="46">
        <v>13</v>
      </c>
      <c r="C17" s="46">
        <v>2</v>
      </c>
      <c r="D17" s="47">
        <f>D16*(1-Inputs!$C$15)+Sensitivity!$D$5</f>
        <v>3.25</v>
      </c>
      <c r="E17" s="47">
        <f>E16*(1-Inputs!$C$15)+Sensitivity!$E$5</f>
        <v>1.3</v>
      </c>
      <c r="F17" s="48">
        <f t="shared" si="0"/>
        <v>4.55</v>
      </c>
      <c r="G17" s="49">
        <f>D17*Sensitivity!$B$5/12+E17*Sensitivity!$C$5/12</f>
        <v>1300</v>
      </c>
      <c r="H17" s="49">
        <f>G17*Sensitivity!$F$5</f>
        <v>390</v>
      </c>
      <c r="I17" s="49">
        <f>G17-H17-Inputs!$C$17</f>
        <v>-1715</v>
      </c>
      <c r="J17" s="49">
        <f t="shared" si="1"/>
        <v>-1255</v>
      </c>
    </row>
    <row r="18" spans="1:10">
      <c r="A18" s="46" t="s">
        <v>186</v>
      </c>
      <c r="B18" s="46">
        <v>14</v>
      </c>
      <c r="C18" s="46">
        <v>2</v>
      </c>
      <c r="D18" s="47">
        <f>D17*(1-Inputs!$C$15)+Sensitivity!$D$5</f>
        <v>3.5</v>
      </c>
      <c r="E18" s="47">
        <f>E17*(1-Inputs!$C$15)+Sensitivity!$E$5</f>
        <v>1.4000000000000001</v>
      </c>
      <c r="F18" s="48">
        <f t="shared" si="0"/>
        <v>4.9000000000000004</v>
      </c>
      <c r="G18" s="49">
        <f>D18*Sensitivity!$B$5/12+E18*Sensitivity!$C$5/12</f>
        <v>1400</v>
      </c>
      <c r="H18" s="49">
        <f>G18*Sensitivity!$F$5</f>
        <v>420</v>
      </c>
      <c r="I18" s="49">
        <f>G18-H18-Inputs!$C$17</f>
        <v>-1645</v>
      </c>
      <c r="J18" s="49">
        <f t="shared" si="1"/>
        <v>-2900</v>
      </c>
    </row>
    <row r="19" spans="1:10">
      <c r="A19" s="46" t="s">
        <v>186</v>
      </c>
      <c r="B19" s="46">
        <v>15</v>
      </c>
      <c r="C19" s="46">
        <v>2</v>
      </c>
      <c r="D19" s="47">
        <f>D18*(1-Inputs!$C$15)+Sensitivity!$D$5</f>
        <v>3.75</v>
      </c>
      <c r="E19" s="47">
        <f>E18*(1-Inputs!$C$15)+Sensitivity!$E$5</f>
        <v>1.5000000000000002</v>
      </c>
      <c r="F19" s="48">
        <f t="shared" si="0"/>
        <v>5.25</v>
      </c>
      <c r="G19" s="49">
        <f>D19*Sensitivity!$B$5/12+E19*Sensitivity!$C$5/12</f>
        <v>1500</v>
      </c>
      <c r="H19" s="49">
        <f>G19*Sensitivity!$F$5</f>
        <v>450</v>
      </c>
      <c r="I19" s="49">
        <f>G19-H19-Inputs!$C$17</f>
        <v>-1575</v>
      </c>
      <c r="J19" s="49">
        <f t="shared" si="1"/>
        <v>-4475</v>
      </c>
    </row>
    <row r="20" spans="1:10">
      <c r="A20" s="46" t="s">
        <v>186</v>
      </c>
      <c r="B20" s="46">
        <v>16</v>
      </c>
      <c r="C20" s="46">
        <v>2</v>
      </c>
      <c r="D20" s="47">
        <f>D19*(1-Inputs!$C$15)+Sensitivity!$D$5</f>
        <v>4</v>
      </c>
      <c r="E20" s="47">
        <f>E19*(1-Inputs!$C$15)+Sensitivity!$E$5</f>
        <v>1.6000000000000003</v>
      </c>
      <c r="F20" s="48">
        <f t="shared" si="0"/>
        <v>5.6000000000000005</v>
      </c>
      <c r="G20" s="49">
        <f>D20*Sensitivity!$B$5/12+E20*Sensitivity!$C$5/12</f>
        <v>1600.0000000000002</v>
      </c>
      <c r="H20" s="49">
        <f>G20*Sensitivity!$F$5</f>
        <v>480.00000000000006</v>
      </c>
      <c r="I20" s="49">
        <f>G20-H20-Inputs!$C$17</f>
        <v>-1504.9999999999998</v>
      </c>
      <c r="J20" s="49">
        <f t="shared" si="1"/>
        <v>-5980</v>
      </c>
    </row>
    <row r="21" spans="1:10">
      <c r="A21" s="46" t="s">
        <v>186</v>
      </c>
      <c r="B21" s="46">
        <v>17</v>
      </c>
      <c r="C21" s="46">
        <v>2</v>
      </c>
      <c r="D21" s="47">
        <f>D20*(1-Inputs!$C$15)+Sensitivity!$D$5</f>
        <v>4.25</v>
      </c>
      <c r="E21" s="47">
        <f>E20*(1-Inputs!$C$15)+Sensitivity!$E$5</f>
        <v>1.7000000000000004</v>
      </c>
      <c r="F21" s="48">
        <f t="shared" si="0"/>
        <v>5.95</v>
      </c>
      <c r="G21" s="49">
        <f>D21*Sensitivity!$B$5/12+E21*Sensitivity!$C$5/12</f>
        <v>1700</v>
      </c>
      <c r="H21" s="49">
        <f>G21*Sensitivity!$F$5</f>
        <v>510</v>
      </c>
      <c r="I21" s="49">
        <f>G21-H21-Inputs!$C$17</f>
        <v>-1435</v>
      </c>
      <c r="J21" s="49">
        <f t="shared" si="1"/>
        <v>-7415</v>
      </c>
    </row>
    <row r="22" spans="1:10">
      <c r="A22" s="46" t="s">
        <v>186</v>
      </c>
      <c r="B22" s="46">
        <v>18</v>
      </c>
      <c r="C22" s="46">
        <v>2</v>
      </c>
      <c r="D22" s="47">
        <f>D21*(1-Inputs!$C$15)+Sensitivity!$D$5</f>
        <v>4.5</v>
      </c>
      <c r="E22" s="47">
        <f>E21*(1-Inputs!$C$15)+Sensitivity!$E$5</f>
        <v>1.8000000000000005</v>
      </c>
      <c r="F22" s="48">
        <f t="shared" si="0"/>
        <v>6.3000000000000007</v>
      </c>
      <c r="G22" s="49">
        <f>D22*Sensitivity!$B$5/12+E22*Sensitivity!$C$5/12</f>
        <v>1800.0000000000005</v>
      </c>
      <c r="H22" s="49">
        <f>G22*Sensitivity!$F$5</f>
        <v>540.00000000000011</v>
      </c>
      <c r="I22" s="49">
        <f>G22-H22-Inputs!$C$17</f>
        <v>-1364.9999999999995</v>
      </c>
      <c r="J22" s="49">
        <f t="shared" si="1"/>
        <v>-8780</v>
      </c>
    </row>
    <row r="23" spans="1:10">
      <c r="A23" s="46" t="s">
        <v>186</v>
      </c>
      <c r="B23" s="46">
        <v>19</v>
      </c>
      <c r="C23" s="46">
        <v>2</v>
      </c>
      <c r="D23" s="47">
        <f>D22*(1-Inputs!$C$15)+Sensitivity!$D$5</f>
        <v>4.75</v>
      </c>
      <c r="E23" s="47">
        <f>E22*(1-Inputs!$C$15)+Sensitivity!$E$5</f>
        <v>1.9000000000000006</v>
      </c>
      <c r="F23" s="48">
        <f t="shared" si="0"/>
        <v>6.65</v>
      </c>
      <c r="G23" s="49">
        <f>D23*Sensitivity!$B$5/12+E23*Sensitivity!$C$5/12</f>
        <v>1900.0000000000005</v>
      </c>
      <c r="H23" s="49">
        <f>G23*Sensitivity!$F$5</f>
        <v>570.00000000000011</v>
      </c>
      <c r="I23" s="49">
        <f>G23-H23-Inputs!$C$17</f>
        <v>-1294.9999999999995</v>
      </c>
      <c r="J23" s="49">
        <f t="shared" si="1"/>
        <v>-10075</v>
      </c>
    </row>
    <row r="24" spans="1:10">
      <c r="A24" s="46" t="s">
        <v>186</v>
      </c>
      <c r="B24" s="46">
        <v>20</v>
      </c>
      <c r="C24" s="46">
        <v>2</v>
      </c>
      <c r="D24" s="47">
        <f>D23*(1-Inputs!$C$15)+Sensitivity!$D$5</f>
        <v>5</v>
      </c>
      <c r="E24" s="47">
        <f>E23*(1-Inputs!$C$15)+Sensitivity!$E$5</f>
        <v>2.0000000000000004</v>
      </c>
      <c r="F24" s="48">
        <f t="shared" si="0"/>
        <v>7</v>
      </c>
      <c r="G24" s="49">
        <f>D24*Sensitivity!$B$5/12+E24*Sensitivity!$C$5/12</f>
        <v>2000.0000000000005</v>
      </c>
      <c r="H24" s="49">
        <f>G24*Sensitivity!$F$5</f>
        <v>600.00000000000011</v>
      </c>
      <c r="I24" s="49">
        <f>G24-H24-Inputs!$C$17</f>
        <v>-1224.9999999999995</v>
      </c>
      <c r="J24" s="49">
        <f t="shared" si="1"/>
        <v>-11300</v>
      </c>
    </row>
    <row r="25" spans="1:10">
      <c r="A25" s="46" t="s">
        <v>186</v>
      </c>
      <c r="B25" s="46">
        <v>21</v>
      </c>
      <c r="C25" s="46">
        <v>2</v>
      </c>
      <c r="D25" s="47">
        <f>D24*(1-Inputs!$C$15)+Sensitivity!$D$5</f>
        <v>5.25</v>
      </c>
      <c r="E25" s="47">
        <f>E24*(1-Inputs!$C$15)+Sensitivity!$E$5</f>
        <v>2.1000000000000005</v>
      </c>
      <c r="F25" s="48">
        <f t="shared" si="0"/>
        <v>7.3500000000000005</v>
      </c>
      <c r="G25" s="49">
        <f>D25*Sensitivity!$B$5/12+E25*Sensitivity!$C$5/12</f>
        <v>2100</v>
      </c>
      <c r="H25" s="49">
        <f>G25*Sensitivity!$F$5</f>
        <v>630</v>
      </c>
      <c r="I25" s="49">
        <f>G25-H25-Inputs!$C$17</f>
        <v>-1155</v>
      </c>
      <c r="J25" s="49">
        <f t="shared" si="1"/>
        <v>-12455</v>
      </c>
    </row>
    <row r="26" spans="1:10">
      <c r="A26" s="46" t="s">
        <v>186</v>
      </c>
      <c r="B26" s="46">
        <v>22</v>
      </c>
      <c r="C26" s="46">
        <v>2</v>
      </c>
      <c r="D26" s="47">
        <f>D25*(1-Inputs!$C$15)+Sensitivity!$D$5</f>
        <v>5.5</v>
      </c>
      <c r="E26" s="47">
        <f>E25*(1-Inputs!$C$15)+Sensitivity!$E$5</f>
        <v>2.2000000000000006</v>
      </c>
      <c r="F26" s="48">
        <f t="shared" si="0"/>
        <v>7.7000000000000011</v>
      </c>
      <c r="G26" s="49">
        <f>D26*Sensitivity!$B$5/12+E26*Sensitivity!$C$5/12</f>
        <v>2200.0000000000005</v>
      </c>
      <c r="H26" s="49">
        <f>G26*Sensitivity!$F$5</f>
        <v>660.00000000000011</v>
      </c>
      <c r="I26" s="49">
        <f>G26-H26-Inputs!$C$17</f>
        <v>-1084.9999999999995</v>
      </c>
      <c r="J26" s="49">
        <f t="shared" si="1"/>
        <v>-13540</v>
      </c>
    </row>
    <row r="27" spans="1:10">
      <c r="A27" s="46" t="s">
        <v>186</v>
      </c>
      <c r="B27" s="46">
        <v>23</v>
      </c>
      <c r="C27" s="46">
        <v>2</v>
      </c>
      <c r="D27" s="47">
        <f>D26*(1-Inputs!$C$15)+Sensitivity!$D$5</f>
        <v>5.75</v>
      </c>
      <c r="E27" s="47">
        <f>E26*(1-Inputs!$C$15)+Sensitivity!$E$5</f>
        <v>2.3000000000000007</v>
      </c>
      <c r="F27" s="48">
        <f t="shared" si="0"/>
        <v>8.0500000000000007</v>
      </c>
      <c r="G27" s="49">
        <f>D27*Sensitivity!$B$5/12+E27*Sensitivity!$C$5/12</f>
        <v>2300.0000000000005</v>
      </c>
      <c r="H27" s="49">
        <f>G27*Sensitivity!$F$5</f>
        <v>690.00000000000011</v>
      </c>
      <c r="I27" s="49">
        <f>G27-H27-Inputs!$C$17</f>
        <v>-1014.9999999999995</v>
      </c>
      <c r="J27" s="49">
        <f t="shared" si="1"/>
        <v>-14555</v>
      </c>
    </row>
    <row r="28" spans="1:10">
      <c r="A28" s="46" t="s">
        <v>186</v>
      </c>
      <c r="B28" s="46">
        <v>24</v>
      </c>
      <c r="C28" s="46">
        <v>2</v>
      </c>
      <c r="D28" s="47">
        <f>D27*(1-Inputs!$C$15)+Sensitivity!$D$5</f>
        <v>6</v>
      </c>
      <c r="E28" s="47">
        <f>E27*(1-Inputs!$C$15)+Sensitivity!$E$5</f>
        <v>2.4000000000000008</v>
      </c>
      <c r="F28" s="48">
        <f t="shared" si="0"/>
        <v>8.4</v>
      </c>
      <c r="G28" s="49">
        <f>D28*Sensitivity!$B$5/12+E28*Sensitivity!$C$5/12</f>
        <v>2400.0000000000005</v>
      </c>
      <c r="H28" s="49">
        <f>G28*Sensitivity!$F$5</f>
        <v>720.00000000000011</v>
      </c>
      <c r="I28" s="49">
        <f>G28-H28-Inputs!$C$17</f>
        <v>-944.99999999999955</v>
      </c>
      <c r="J28" s="49">
        <f t="shared" si="1"/>
        <v>-15500</v>
      </c>
    </row>
    <row r="29" spans="1:10">
      <c r="A29" s="46" t="s">
        <v>186</v>
      </c>
      <c r="B29" s="46">
        <v>25</v>
      </c>
      <c r="C29" s="46">
        <v>3</v>
      </c>
      <c r="D29" s="47">
        <f>D28*(1-Inputs!$C$15)+Sensitivity!$D$5</f>
        <v>6.25</v>
      </c>
      <c r="E29" s="47">
        <f>E28*(1-Inputs!$C$15)+Sensitivity!$E$5</f>
        <v>2.5000000000000009</v>
      </c>
      <c r="F29" s="48">
        <f t="shared" si="0"/>
        <v>8.75</v>
      </c>
      <c r="G29" s="49">
        <f>D29*Sensitivity!$B$5/12+E29*Sensitivity!$C$5/12</f>
        <v>2500.0000000000005</v>
      </c>
      <c r="H29" s="49">
        <f>G29*Sensitivity!$F$5</f>
        <v>750.00000000000011</v>
      </c>
      <c r="I29" s="49">
        <f>G29-H29-Inputs!$C$17</f>
        <v>-874.99999999999955</v>
      </c>
      <c r="J29" s="49">
        <f t="shared" si="1"/>
        <v>-16375</v>
      </c>
    </row>
    <row r="30" spans="1:10">
      <c r="A30" s="46" t="s">
        <v>186</v>
      </c>
      <c r="B30" s="46">
        <v>26</v>
      </c>
      <c r="C30" s="46">
        <v>3</v>
      </c>
      <c r="D30" s="47">
        <f>D29*(1-Inputs!$C$15)+Sensitivity!$D$5</f>
        <v>6.5</v>
      </c>
      <c r="E30" s="47">
        <f>E29*(1-Inputs!$C$15)+Sensitivity!$E$5</f>
        <v>2.600000000000001</v>
      </c>
      <c r="F30" s="48">
        <f t="shared" si="0"/>
        <v>9.1000000000000014</v>
      </c>
      <c r="G30" s="49">
        <f>D30*Sensitivity!$B$5/12+E30*Sensitivity!$C$5/12</f>
        <v>2600.0000000000009</v>
      </c>
      <c r="H30" s="49">
        <f>G30*Sensitivity!$F$5</f>
        <v>780.00000000000023</v>
      </c>
      <c r="I30" s="49">
        <f>G30-H30-Inputs!$C$17</f>
        <v>-804.99999999999932</v>
      </c>
      <c r="J30" s="49">
        <f t="shared" si="1"/>
        <v>-17180</v>
      </c>
    </row>
    <row r="31" spans="1:10">
      <c r="A31" s="46" t="s">
        <v>186</v>
      </c>
      <c r="B31" s="46">
        <v>27</v>
      </c>
      <c r="C31" s="46">
        <v>3</v>
      </c>
      <c r="D31" s="47">
        <f>D30*(1-Inputs!$C$15)+Sensitivity!$D$5</f>
        <v>6.75</v>
      </c>
      <c r="E31" s="47">
        <f>E30*(1-Inputs!$C$15)+Sensitivity!$E$5</f>
        <v>2.7000000000000011</v>
      </c>
      <c r="F31" s="48">
        <f t="shared" si="0"/>
        <v>9.4500000000000011</v>
      </c>
      <c r="G31" s="49">
        <f>D31*Sensitivity!$B$5/12+E31*Sensitivity!$C$5/12</f>
        <v>2700.0000000000009</v>
      </c>
      <c r="H31" s="49">
        <f>G31*Sensitivity!$F$5</f>
        <v>810.00000000000023</v>
      </c>
      <c r="I31" s="49">
        <f>G31-H31-Inputs!$C$17</f>
        <v>-734.99999999999932</v>
      </c>
      <c r="J31" s="49">
        <f t="shared" si="1"/>
        <v>-17915</v>
      </c>
    </row>
    <row r="32" spans="1:10">
      <c r="A32" s="46" t="s">
        <v>186</v>
      </c>
      <c r="B32" s="46">
        <v>28</v>
      </c>
      <c r="C32" s="46">
        <v>3</v>
      </c>
      <c r="D32" s="47">
        <f>D31*(1-Inputs!$C$15)+Sensitivity!$D$5</f>
        <v>7</v>
      </c>
      <c r="E32" s="47">
        <f>E31*(1-Inputs!$C$15)+Sensitivity!$E$5</f>
        <v>2.8000000000000012</v>
      </c>
      <c r="F32" s="48">
        <f t="shared" si="0"/>
        <v>9.8000000000000007</v>
      </c>
      <c r="G32" s="49">
        <f>D32*Sensitivity!$B$5/12+E32*Sensitivity!$C$5/12</f>
        <v>2800.0000000000005</v>
      </c>
      <c r="H32" s="49">
        <f>G32*Sensitivity!$F$5</f>
        <v>840.00000000000011</v>
      </c>
      <c r="I32" s="49">
        <f>G32-H32-Inputs!$C$17</f>
        <v>-664.99999999999955</v>
      </c>
      <c r="J32" s="49">
        <f t="shared" si="1"/>
        <v>-18580</v>
      </c>
    </row>
    <row r="33" spans="1:10">
      <c r="A33" s="46" t="s">
        <v>186</v>
      </c>
      <c r="B33" s="46">
        <v>29</v>
      </c>
      <c r="C33" s="46">
        <v>3</v>
      </c>
      <c r="D33" s="47">
        <f>D32*(1-Inputs!$C$15)+Sensitivity!$D$5</f>
        <v>7.25</v>
      </c>
      <c r="E33" s="47">
        <f>E32*(1-Inputs!$C$15)+Sensitivity!$E$5</f>
        <v>2.9000000000000012</v>
      </c>
      <c r="F33" s="48">
        <f t="shared" si="0"/>
        <v>10.150000000000002</v>
      </c>
      <c r="G33" s="49">
        <f>D33*Sensitivity!$B$5/12+E33*Sensitivity!$C$5/12</f>
        <v>2900.0000000000009</v>
      </c>
      <c r="H33" s="49">
        <f>G33*Sensitivity!$F$5</f>
        <v>870.00000000000023</v>
      </c>
      <c r="I33" s="49">
        <f>G33-H33-Inputs!$C$17</f>
        <v>-594.99999999999932</v>
      </c>
      <c r="J33" s="49">
        <f t="shared" si="1"/>
        <v>-19175</v>
      </c>
    </row>
    <row r="34" spans="1:10">
      <c r="A34" s="46" t="s">
        <v>186</v>
      </c>
      <c r="B34" s="46">
        <v>30</v>
      </c>
      <c r="C34" s="46">
        <v>3</v>
      </c>
      <c r="D34" s="47">
        <f>D33*(1-Inputs!$C$15)+Sensitivity!$D$5</f>
        <v>7.5</v>
      </c>
      <c r="E34" s="47">
        <f>E33*(1-Inputs!$C$15)+Sensitivity!$E$5</f>
        <v>3.0000000000000013</v>
      </c>
      <c r="F34" s="48">
        <f t="shared" si="0"/>
        <v>10.500000000000002</v>
      </c>
      <c r="G34" s="49">
        <f>D34*Sensitivity!$B$5/12+E34*Sensitivity!$C$5/12</f>
        <v>3000.0000000000009</v>
      </c>
      <c r="H34" s="49">
        <f>G34*Sensitivity!$F$5</f>
        <v>900.00000000000023</v>
      </c>
      <c r="I34" s="49">
        <f>G34-H34-Inputs!$C$17</f>
        <v>-524.99999999999909</v>
      </c>
      <c r="J34" s="49">
        <f t="shared" si="1"/>
        <v>-19700</v>
      </c>
    </row>
    <row r="35" spans="1:10">
      <c r="A35" s="46" t="s">
        <v>186</v>
      </c>
      <c r="B35" s="46">
        <v>31</v>
      </c>
      <c r="C35" s="46">
        <v>3</v>
      </c>
      <c r="D35" s="47">
        <f>D34*(1-Inputs!$C$15)+Sensitivity!$D$5</f>
        <v>7.75</v>
      </c>
      <c r="E35" s="47">
        <f>E34*(1-Inputs!$C$15)+Sensitivity!$E$5</f>
        <v>3.1000000000000014</v>
      </c>
      <c r="F35" s="48">
        <f t="shared" si="0"/>
        <v>10.850000000000001</v>
      </c>
      <c r="G35" s="49">
        <f>D35*Sensitivity!$B$5/12+E35*Sensitivity!$C$5/12</f>
        <v>3100.0000000000009</v>
      </c>
      <c r="H35" s="49">
        <f>G35*Sensitivity!$F$5</f>
        <v>930.00000000000023</v>
      </c>
      <c r="I35" s="49">
        <f>G35-H35-Inputs!$C$17</f>
        <v>-454.99999999999909</v>
      </c>
      <c r="J35" s="49">
        <f t="shared" si="1"/>
        <v>-20155</v>
      </c>
    </row>
    <row r="36" spans="1:10">
      <c r="A36" s="46" t="s">
        <v>186</v>
      </c>
      <c r="B36" s="46">
        <v>32</v>
      </c>
      <c r="C36" s="46">
        <v>3</v>
      </c>
      <c r="D36" s="47">
        <f>D35*(1-Inputs!$C$15)+Sensitivity!$D$5</f>
        <v>8</v>
      </c>
      <c r="E36" s="47">
        <f>E35*(1-Inputs!$C$15)+Sensitivity!$E$5</f>
        <v>3.2000000000000015</v>
      </c>
      <c r="F36" s="48">
        <f t="shared" si="0"/>
        <v>11.200000000000001</v>
      </c>
      <c r="G36" s="49">
        <f>D36*Sensitivity!$B$5/12+E36*Sensitivity!$C$5/12</f>
        <v>3200.0000000000009</v>
      </c>
      <c r="H36" s="49">
        <f>G36*Sensitivity!$F$5</f>
        <v>960.00000000000023</v>
      </c>
      <c r="I36" s="49">
        <f>G36-H36-Inputs!$C$17</f>
        <v>-384.99999999999909</v>
      </c>
      <c r="J36" s="49">
        <f t="shared" si="1"/>
        <v>-20540</v>
      </c>
    </row>
    <row r="37" spans="1:10">
      <c r="A37" s="46" t="s">
        <v>186</v>
      </c>
      <c r="B37" s="46">
        <v>33</v>
      </c>
      <c r="C37" s="46">
        <v>3</v>
      </c>
      <c r="D37" s="47">
        <f>D36*(1-Inputs!$C$15)+Sensitivity!$D$5</f>
        <v>8.25</v>
      </c>
      <c r="E37" s="47">
        <f>E36*(1-Inputs!$C$15)+Sensitivity!$E$5</f>
        <v>3.3000000000000016</v>
      </c>
      <c r="F37" s="48">
        <f t="shared" ref="F37:F68" si="2">D37+E37</f>
        <v>11.55</v>
      </c>
      <c r="G37" s="49">
        <f>D37*Sensitivity!$B$5/12+E37*Sensitivity!$C$5/12</f>
        <v>3300.0000000000009</v>
      </c>
      <c r="H37" s="49">
        <f>G37*Sensitivity!$F$5</f>
        <v>990.00000000000023</v>
      </c>
      <c r="I37" s="49">
        <f>G37-H37-Inputs!$C$17</f>
        <v>-314.99999999999909</v>
      </c>
      <c r="J37" s="49">
        <f t="shared" si="1"/>
        <v>-20855</v>
      </c>
    </row>
    <row r="38" spans="1:10">
      <c r="A38" s="46" t="s">
        <v>186</v>
      </c>
      <c r="B38" s="46">
        <v>34</v>
      </c>
      <c r="C38" s="46">
        <v>3</v>
      </c>
      <c r="D38" s="47">
        <f>D37*(1-Inputs!$C$15)+Sensitivity!$D$5</f>
        <v>8.5</v>
      </c>
      <c r="E38" s="47">
        <f>E37*(1-Inputs!$C$15)+Sensitivity!$E$5</f>
        <v>3.4000000000000017</v>
      </c>
      <c r="F38" s="48">
        <f t="shared" si="2"/>
        <v>11.900000000000002</v>
      </c>
      <c r="G38" s="49">
        <f>D38*Sensitivity!$B$5/12+E38*Sensitivity!$C$5/12</f>
        <v>3400.0000000000009</v>
      </c>
      <c r="H38" s="49">
        <f>G38*Sensitivity!$F$5</f>
        <v>1020.0000000000002</v>
      </c>
      <c r="I38" s="49">
        <f>G38-H38-Inputs!$C$17</f>
        <v>-244.99999999999909</v>
      </c>
      <c r="J38" s="49">
        <f t="shared" si="1"/>
        <v>-21100</v>
      </c>
    </row>
    <row r="39" spans="1:10">
      <c r="A39" s="46" t="s">
        <v>186</v>
      </c>
      <c r="B39" s="46">
        <v>35</v>
      </c>
      <c r="C39" s="46">
        <v>3</v>
      </c>
      <c r="D39" s="47">
        <f>D38*(1-Inputs!$C$15)+Sensitivity!$D$5</f>
        <v>8.75</v>
      </c>
      <c r="E39" s="47">
        <f>E38*(1-Inputs!$C$15)+Sensitivity!$E$5</f>
        <v>3.5000000000000018</v>
      </c>
      <c r="F39" s="48">
        <f t="shared" si="2"/>
        <v>12.250000000000002</v>
      </c>
      <c r="G39" s="49">
        <f>D39*Sensitivity!$B$5/12+E39*Sensitivity!$C$5/12</f>
        <v>3500.0000000000009</v>
      </c>
      <c r="H39" s="49">
        <f>G39*Sensitivity!$F$5</f>
        <v>1050.0000000000002</v>
      </c>
      <c r="I39" s="49">
        <f>G39-H39-Inputs!$C$17</f>
        <v>-174.99999999999909</v>
      </c>
      <c r="J39" s="49">
        <f t="shared" si="1"/>
        <v>-21275</v>
      </c>
    </row>
    <row r="40" spans="1:10">
      <c r="A40" s="46" t="s">
        <v>186</v>
      </c>
      <c r="B40" s="46">
        <v>36</v>
      </c>
      <c r="C40" s="46">
        <v>3</v>
      </c>
      <c r="D40" s="47">
        <f>D39*(1-Inputs!$C$15)+Sensitivity!$D$5</f>
        <v>9</v>
      </c>
      <c r="E40" s="47">
        <f>E39*(1-Inputs!$C$15)+Sensitivity!$E$5</f>
        <v>3.6000000000000019</v>
      </c>
      <c r="F40" s="48">
        <f t="shared" si="2"/>
        <v>12.600000000000001</v>
      </c>
      <c r="G40" s="49">
        <f>D40*Sensitivity!$B$5/12+E40*Sensitivity!$C$5/12</f>
        <v>3600.0000000000009</v>
      </c>
      <c r="H40" s="49">
        <f>G40*Sensitivity!$F$5</f>
        <v>1080.0000000000002</v>
      </c>
      <c r="I40" s="49">
        <f>G40-H40-Inputs!$C$17</f>
        <v>-104.99999999999909</v>
      </c>
      <c r="J40" s="49">
        <f t="shared" si="1"/>
        <v>-21380</v>
      </c>
    </row>
    <row r="41" spans="1:10">
      <c r="A41" s="46" t="s">
        <v>188</v>
      </c>
      <c r="B41" s="46">
        <v>1</v>
      </c>
      <c r="C41" s="46">
        <v>1</v>
      </c>
      <c r="D41" s="47">
        <f>Inputs!$C$9*(1-Inputs!$C$15)+Sensitivity!$D$6</f>
        <v>0.5</v>
      </c>
      <c r="E41" s="47">
        <f>Inputs!$C$10*(1-Inputs!$C$15)+Sensitivity!$E$6</f>
        <v>0.3</v>
      </c>
      <c r="F41" s="48">
        <f t="shared" si="2"/>
        <v>0.8</v>
      </c>
      <c r="G41" s="49">
        <f>D41*Sensitivity!$B$6/12+E41*Sensitivity!$C$6/12</f>
        <v>291.66666666666669</v>
      </c>
      <c r="H41" s="49">
        <f>G41*Sensitivity!$F$6</f>
        <v>58.333333333333343</v>
      </c>
      <c r="I41" s="49">
        <f>G41-H41-Inputs!$C$17</f>
        <v>-2391.6666666666665</v>
      </c>
      <c r="J41" s="49">
        <f>Inputs!$C$5+I41</f>
        <v>24108.333333333332</v>
      </c>
    </row>
    <row r="42" spans="1:10">
      <c r="A42" s="46" t="s">
        <v>188</v>
      </c>
      <c r="B42" s="46">
        <v>2</v>
      </c>
      <c r="C42" s="46">
        <v>1</v>
      </c>
      <c r="D42" s="47">
        <f>D41*(1-Inputs!$C$15)+Sensitivity!$D$6</f>
        <v>1</v>
      </c>
      <c r="E42" s="47">
        <f>E41*(1-Inputs!$C$15)+Sensitivity!$E$6</f>
        <v>0.6</v>
      </c>
      <c r="F42" s="48">
        <f t="shared" si="2"/>
        <v>1.6</v>
      </c>
      <c r="G42" s="49">
        <f>D42*Sensitivity!$B$6/12+E42*Sensitivity!$C$6/12</f>
        <v>583.33333333333337</v>
      </c>
      <c r="H42" s="49">
        <f>G42*Sensitivity!$F$6</f>
        <v>116.66666666666669</v>
      </c>
      <c r="I42" s="49">
        <f>G42-H42-Inputs!$C$17</f>
        <v>-2158.3333333333335</v>
      </c>
      <c r="J42" s="49">
        <f t="shared" ref="J42:J76" si="3">J41+I42</f>
        <v>21950</v>
      </c>
    </row>
    <row r="43" spans="1:10">
      <c r="A43" s="46" t="s">
        <v>188</v>
      </c>
      <c r="B43" s="46">
        <v>3</v>
      </c>
      <c r="C43" s="46">
        <v>1</v>
      </c>
      <c r="D43" s="47">
        <f>D42*(1-Inputs!$C$15)+Sensitivity!$D$6</f>
        <v>1.5</v>
      </c>
      <c r="E43" s="47">
        <f>E42*(1-Inputs!$C$15)+Sensitivity!$E$6</f>
        <v>0.89999999999999991</v>
      </c>
      <c r="F43" s="48">
        <f t="shared" si="2"/>
        <v>2.4</v>
      </c>
      <c r="G43" s="49">
        <f>D43*Sensitivity!$B$6/12+E43*Sensitivity!$C$6/12</f>
        <v>874.99999999999989</v>
      </c>
      <c r="H43" s="49">
        <f>G43*Sensitivity!$F$6</f>
        <v>175</v>
      </c>
      <c r="I43" s="49">
        <f>G43-H43-Inputs!$C$17</f>
        <v>-1925</v>
      </c>
      <c r="J43" s="49">
        <f t="shared" si="3"/>
        <v>20025</v>
      </c>
    </row>
    <row r="44" spans="1:10">
      <c r="A44" s="46" t="s">
        <v>188</v>
      </c>
      <c r="B44" s="46">
        <v>4</v>
      </c>
      <c r="C44" s="46">
        <v>1</v>
      </c>
      <c r="D44" s="47">
        <f>D43*(1-Inputs!$C$15)+Sensitivity!$D$6</f>
        <v>2</v>
      </c>
      <c r="E44" s="47">
        <f>E43*(1-Inputs!$C$15)+Sensitivity!$E$6</f>
        <v>1.2</v>
      </c>
      <c r="F44" s="48">
        <f t="shared" si="2"/>
        <v>3.2</v>
      </c>
      <c r="G44" s="49">
        <f>D44*Sensitivity!$B$6/12+E44*Sensitivity!$C$6/12</f>
        <v>1166.6666666666667</v>
      </c>
      <c r="H44" s="49">
        <f>G44*Sensitivity!$F$6</f>
        <v>233.33333333333337</v>
      </c>
      <c r="I44" s="49">
        <f>G44-H44-Inputs!$C$17</f>
        <v>-1691.6666666666665</v>
      </c>
      <c r="J44" s="49">
        <f t="shared" si="3"/>
        <v>18333.333333333332</v>
      </c>
    </row>
    <row r="45" spans="1:10">
      <c r="A45" s="46" t="s">
        <v>188</v>
      </c>
      <c r="B45" s="46">
        <v>5</v>
      </c>
      <c r="C45" s="46">
        <v>1</v>
      </c>
      <c r="D45" s="47">
        <f>D44*(1-Inputs!$C$15)+Sensitivity!$D$6</f>
        <v>2.5</v>
      </c>
      <c r="E45" s="47">
        <f>E44*(1-Inputs!$C$15)+Sensitivity!$E$6</f>
        <v>1.5</v>
      </c>
      <c r="F45" s="48">
        <f t="shared" si="2"/>
        <v>4</v>
      </c>
      <c r="G45" s="49">
        <f>D45*Sensitivity!$B$6/12+E45*Sensitivity!$C$6/12</f>
        <v>1458.3333333333335</v>
      </c>
      <c r="H45" s="49">
        <f>G45*Sensitivity!$F$6</f>
        <v>291.66666666666669</v>
      </c>
      <c r="I45" s="49">
        <f>G45-H45-Inputs!$C$17</f>
        <v>-1458.3333333333333</v>
      </c>
      <c r="J45" s="49">
        <f t="shared" si="3"/>
        <v>16875</v>
      </c>
    </row>
    <row r="46" spans="1:10">
      <c r="A46" s="46" t="s">
        <v>188</v>
      </c>
      <c r="B46" s="46">
        <v>6</v>
      </c>
      <c r="C46" s="46">
        <v>1</v>
      </c>
      <c r="D46" s="47">
        <f>D45*(1-Inputs!$C$15)+Sensitivity!$D$6</f>
        <v>3</v>
      </c>
      <c r="E46" s="47">
        <f>E45*(1-Inputs!$C$15)+Sensitivity!$E$6</f>
        <v>1.8</v>
      </c>
      <c r="F46" s="48">
        <f t="shared" si="2"/>
        <v>4.8</v>
      </c>
      <c r="G46" s="49">
        <f>D46*Sensitivity!$B$6/12+E46*Sensitivity!$C$6/12</f>
        <v>1750</v>
      </c>
      <c r="H46" s="49">
        <f>G46*Sensitivity!$F$6</f>
        <v>350</v>
      </c>
      <c r="I46" s="49">
        <f>G46-H46-Inputs!$C$17</f>
        <v>-1225</v>
      </c>
      <c r="J46" s="49">
        <f t="shared" si="3"/>
        <v>15650</v>
      </c>
    </row>
    <row r="47" spans="1:10">
      <c r="A47" s="46" t="s">
        <v>188</v>
      </c>
      <c r="B47" s="46">
        <v>7</v>
      </c>
      <c r="C47" s="46">
        <v>1</v>
      </c>
      <c r="D47" s="47">
        <f>D46*(1-Inputs!$C$15)+Sensitivity!$D$6</f>
        <v>3.5</v>
      </c>
      <c r="E47" s="47">
        <f>E46*(1-Inputs!$C$15)+Sensitivity!$E$6</f>
        <v>2.1</v>
      </c>
      <c r="F47" s="48">
        <f t="shared" si="2"/>
        <v>5.6</v>
      </c>
      <c r="G47" s="49">
        <f>D47*Sensitivity!$B$6/12+E47*Sensitivity!$C$6/12</f>
        <v>2041.6666666666665</v>
      </c>
      <c r="H47" s="49">
        <f>G47*Sensitivity!$F$6</f>
        <v>408.33333333333331</v>
      </c>
      <c r="I47" s="49">
        <f>G47-H47-Inputs!$C$17</f>
        <v>-991.66666666666674</v>
      </c>
      <c r="J47" s="49">
        <f t="shared" si="3"/>
        <v>14658.333333333334</v>
      </c>
    </row>
    <row r="48" spans="1:10">
      <c r="A48" s="46" t="s">
        <v>188</v>
      </c>
      <c r="B48" s="46">
        <v>8</v>
      </c>
      <c r="C48" s="46">
        <v>1</v>
      </c>
      <c r="D48" s="47">
        <f>D47*(1-Inputs!$C$15)+Sensitivity!$D$6</f>
        <v>4</v>
      </c>
      <c r="E48" s="47">
        <f>E47*(1-Inputs!$C$15)+Sensitivity!$E$6</f>
        <v>2.4</v>
      </c>
      <c r="F48" s="48">
        <f t="shared" si="2"/>
        <v>6.4</v>
      </c>
      <c r="G48" s="49">
        <f>D48*Sensitivity!$B$6/12+E48*Sensitivity!$C$6/12</f>
        <v>2333.3333333333335</v>
      </c>
      <c r="H48" s="49">
        <f>G48*Sensitivity!$F$6</f>
        <v>466.66666666666674</v>
      </c>
      <c r="I48" s="49">
        <f>G48-H48-Inputs!$C$17</f>
        <v>-758.33333333333326</v>
      </c>
      <c r="J48" s="49">
        <f t="shared" si="3"/>
        <v>13900</v>
      </c>
    </row>
    <row r="49" spans="1:10">
      <c r="A49" s="46" t="s">
        <v>188</v>
      </c>
      <c r="B49" s="46">
        <v>9</v>
      </c>
      <c r="C49" s="46">
        <v>1</v>
      </c>
      <c r="D49" s="47">
        <f>D48*(1-Inputs!$C$15)+Sensitivity!$D$6</f>
        <v>4.5</v>
      </c>
      <c r="E49" s="47">
        <f>E48*(1-Inputs!$C$15)+Sensitivity!$E$6</f>
        <v>2.6999999999999997</v>
      </c>
      <c r="F49" s="48">
        <f t="shared" si="2"/>
        <v>7.1999999999999993</v>
      </c>
      <c r="G49" s="49">
        <f>D49*Sensitivity!$B$6/12+E49*Sensitivity!$C$6/12</f>
        <v>2625</v>
      </c>
      <c r="H49" s="49">
        <f>G49*Sensitivity!$F$6</f>
        <v>525</v>
      </c>
      <c r="I49" s="49">
        <f>G49-H49-Inputs!$C$17</f>
        <v>-525</v>
      </c>
      <c r="J49" s="49">
        <f t="shared" si="3"/>
        <v>13375</v>
      </c>
    </row>
    <row r="50" spans="1:10">
      <c r="A50" s="46" t="s">
        <v>188</v>
      </c>
      <c r="B50" s="46">
        <v>10</v>
      </c>
      <c r="C50" s="46">
        <v>1</v>
      </c>
      <c r="D50" s="47">
        <f>D49*(1-Inputs!$C$15)+Sensitivity!$D$6</f>
        <v>5</v>
      </c>
      <c r="E50" s="47">
        <f>E49*(1-Inputs!$C$15)+Sensitivity!$E$6</f>
        <v>2.9999999999999996</v>
      </c>
      <c r="F50" s="48">
        <f t="shared" si="2"/>
        <v>8</v>
      </c>
      <c r="G50" s="49">
        <f>D50*Sensitivity!$B$6/12+E50*Sensitivity!$C$6/12</f>
        <v>2916.6666666666665</v>
      </c>
      <c r="H50" s="49">
        <f>G50*Sensitivity!$F$6</f>
        <v>583.33333333333337</v>
      </c>
      <c r="I50" s="49">
        <f>G50-H50-Inputs!$C$17</f>
        <v>-291.66666666666697</v>
      </c>
      <c r="J50" s="49">
        <f t="shared" si="3"/>
        <v>13083.333333333332</v>
      </c>
    </row>
    <row r="51" spans="1:10">
      <c r="A51" s="46" t="s">
        <v>188</v>
      </c>
      <c r="B51" s="46">
        <v>11</v>
      </c>
      <c r="C51" s="46">
        <v>1</v>
      </c>
      <c r="D51" s="47">
        <f>D50*(1-Inputs!$C$15)+Sensitivity!$D$6</f>
        <v>5.5</v>
      </c>
      <c r="E51" s="47">
        <f>E50*(1-Inputs!$C$15)+Sensitivity!$E$6</f>
        <v>3.2999999999999994</v>
      </c>
      <c r="F51" s="48">
        <f t="shared" si="2"/>
        <v>8.7999999999999989</v>
      </c>
      <c r="G51" s="49">
        <f>D51*Sensitivity!$B$6/12+E51*Sensitivity!$C$6/12</f>
        <v>3208.333333333333</v>
      </c>
      <c r="H51" s="49">
        <f>G51*Sensitivity!$F$6</f>
        <v>641.66666666666663</v>
      </c>
      <c r="I51" s="49">
        <f>G51-H51-Inputs!$C$17</f>
        <v>-58.333333333333485</v>
      </c>
      <c r="J51" s="49">
        <f t="shared" si="3"/>
        <v>13024.999999999998</v>
      </c>
    </row>
    <row r="52" spans="1:10">
      <c r="A52" s="46" t="s">
        <v>188</v>
      </c>
      <c r="B52" s="46">
        <v>12</v>
      </c>
      <c r="C52" s="46">
        <v>1</v>
      </c>
      <c r="D52" s="47">
        <f>D51*(1-Inputs!$C$15)+Sensitivity!$D$6</f>
        <v>6</v>
      </c>
      <c r="E52" s="47">
        <f>E51*(1-Inputs!$C$15)+Sensitivity!$E$6</f>
        <v>3.5999999999999992</v>
      </c>
      <c r="F52" s="48">
        <f t="shared" si="2"/>
        <v>9.6</v>
      </c>
      <c r="G52" s="49">
        <f>D52*Sensitivity!$B$6/12+E52*Sensitivity!$C$6/12</f>
        <v>3499.9999999999995</v>
      </c>
      <c r="H52" s="49">
        <f>G52*Sensitivity!$F$6</f>
        <v>700</v>
      </c>
      <c r="I52" s="49">
        <f>G52-H52-Inputs!$C$17</f>
        <v>174.99999999999955</v>
      </c>
      <c r="J52" s="49">
        <f t="shared" si="3"/>
        <v>13199.999999999998</v>
      </c>
    </row>
    <row r="53" spans="1:10">
      <c r="A53" s="46" t="s">
        <v>188</v>
      </c>
      <c r="B53" s="46">
        <v>13</v>
      </c>
      <c r="C53" s="46">
        <v>2</v>
      </c>
      <c r="D53" s="47">
        <f>D52*(1-Inputs!$C$15)+Sensitivity!$D$6</f>
        <v>6.5</v>
      </c>
      <c r="E53" s="47">
        <f>E52*(1-Inputs!$C$15)+Sensitivity!$E$6</f>
        <v>3.899999999999999</v>
      </c>
      <c r="F53" s="48">
        <f t="shared" si="2"/>
        <v>10.399999999999999</v>
      </c>
      <c r="G53" s="49">
        <f>D53*Sensitivity!$B$6/12+E53*Sensitivity!$C$6/12</f>
        <v>3791.6666666666661</v>
      </c>
      <c r="H53" s="49">
        <f>G53*Sensitivity!$F$6</f>
        <v>758.33333333333326</v>
      </c>
      <c r="I53" s="49">
        <f>G53-H53-Inputs!$C$17</f>
        <v>408.33333333333303</v>
      </c>
      <c r="J53" s="49">
        <f t="shared" si="3"/>
        <v>13608.333333333332</v>
      </c>
    </row>
    <row r="54" spans="1:10">
      <c r="A54" s="46" t="s">
        <v>188</v>
      </c>
      <c r="B54" s="46">
        <v>14</v>
      </c>
      <c r="C54" s="46">
        <v>2</v>
      </c>
      <c r="D54" s="47">
        <f>D53*(1-Inputs!$C$15)+Sensitivity!$D$6</f>
        <v>7</v>
      </c>
      <c r="E54" s="47">
        <f>E53*(1-Inputs!$C$15)+Sensitivity!$E$6</f>
        <v>4.1999999999999993</v>
      </c>
      <c r="F54" s="48">
        <f t="shared" si="2"/>
        <v>11.2</v>
      </c>
      <c r="G54" s="49">
        <f>D54*Sensitivity!$B$6/12+E54*Sensitivity!$C$6/12</f>
        <v>4083.333333333333</v>
      </c>
      <c r="H54" s="49">
        <f>G54*Sensitivity!$F$6</f>
        <v>816.66666666666663</v>
      </c>
      <c r="I54" s="49">
        <f>G54-H54-Inputs!$C$17</f>
        <v>641.66666666666652</v>
      </c>
      <c r="J54" s="49">
        <f t="shared" si="3"/>
        <v>14249.999999999998</v>
      </c>
    </row>
    <row r="55" spans="1:10">
      <c r="A55" s="46" t="s">
        <v>188</v>
      </c>
      <c r="B55" s="46">
        <v>15</v>
      </c>
      <c r="C55" s="46">
        <v>2</v>
      </c>
      <c r="D55" s="47">
        <f>D54*(1-Inputs!$C$15)+Sensitivity!$D$6</f>
        <v>7.5</v>
      </c>
      <c r="E55" s="47">
        <f>E54*(1-Inputs!$C$15)+Sensitivity!$E$6</f>
        <v>4.4999999999999991</v>
      </c>
      <c r="F55" s="48">
        <f t="shared" si="2"/>
        <v>12</v>
      </c>
      <c r="G55" s="49">
        <f>D55*Sensitivity!$B$6/12+E55*Sensitivity!$C$6/12</f>
        <v>4375</v>
      </c>
      <c r="H55" s="49">
        <f>G55*Sensitivity!$F$6</f>
        <v>875</v>
      </c>
      <c r="I55" s="49">
        <f>G55-H55-Inputs!$C$17</f>
        <v>875</v>
      </c>
      <c r="J55" s="49">
        <f t="shared" si="3"/>
        <v>15124.999999999998</v>
      </c>
    </row>
    <row r="56" spans="1:10">
      <c r="A56" s="46" t="s">
        <v>188</v>
      </c>
      <c r="B56" s="46">
        <v>16</v>
      </c>
      <c r="C56" s="46">
        <v>2</v>
      </c>
      <c r="D56" s="47">
        <f>D55*(1-Inputs!$C$15)+Sensitivity!$D$6</f>
        <v>8</v>
      </c>
      <c r="E56" s="47">
        <f>E55*(1-Inputs!$C$15)+Sensitivity!$E$6</f>
        <v>4.7999999999999989</v>
      </c>
      <c r="F56" s="48">
        <f t="shared" si="2"/>
        <v>12.799999999999999</v>
      </c>
      <c r="G56" s="49">
        <f>D56*Sensitivity!$B$6/12+E56*Sensitivity!$C$6/12</f>
        <v>4666.6666666666661</v>
      </c>
      <c r="H56" s="49">
        <f>G56*Sensitivity!$F$6</f>
        <v>933.33333333333326</v>
      </c>
      <c r="I56" s="49">
        <f>G56-H56-Inputs!$C$17</f>
        <v>1108.333333333333</v>
      </c>
      <c r="J56" s="49">
        <f t="shared" si="3"/>
        <v>16233.333333333332</v>
      </c>
    </row>
    <row r="57" spans="1:10">
      <c r="A57" s="46" t="s">
        <v>188</v>
      </c>
      <c r="B57" s="46">
        <v>17</v>
      </c>
      <c r="C57" s="46">
        <v>2</v>
      </c>
      <c r="D57" s="47">
        <f>D56*(1-Inputs!$C$15)+Sensitivity!$D$6</f>
        <v>8.5</v>
      </c>
      <c r="E57" s="47">
        <f>E56*(1-Inputs!$C$15)+Sensitivity!$E$6</f>
        <v>5.0999999999999988</v>
      </c>
      <c r="F57" s="48">
        <f t="shared" si="2"/>
        <v>13.599999999999998</v>
      </c>
      <c r="G57" s="49">
        <f>D57*Sensitivity!$B$6/12+E57*Sensitivity!$C$6/12</f>
        <v>4958.333333333333</v>
      </c>
      <c r="H57" s="49">
        <f>G57*Sensitivity!$F$6</f>
        <v>991.66666666666663</v>
      </c>
      <c r="I57" s="49">
        <f>G57-H57-Inputs!$C$17</f>
        <v>1341.6666666666665</v>
      </c>
      <c r="J57" s="49">
        <f t="shared" si="3"/>
        <v>17575</v>
      </c>
    </row>
    <row r="58" spans="1:10">
      <c r="A58" s="46" t="s">
        <v>188</v>
      </c>
      <c r="B58" s="46">
        <v>18</v>
      </c>
      <c r="C58" s="46">
        <v>2</v>
      </c>
      <c r="D58" s="47">
        <f>D57*(1-Inputs!$C$15)+Sensitivity!$D$6</f>
        <v>9</v>
      </c>
      <c r="E58" s="47">
        <f>E57*(1-Inputs!$C$15)+Sensitivity!$E$6</f>
        <v>5.3999999999999986</v>
      </c>
      <c r="F58" s="48">
        <f t="shared" si="2"/>
        <v>14.399999999999999</v>
      </c>
      <c r="G58" s="49">
        <f>D58*Sensitivity!$B$6/12+E58*Sensitivity!$C$6/12</f>
        <v>5250</v>
      </c>
      <c r="H58" s="49">
        <f>G58*Sensitivity!$F$6</f>
        <v>1050</v>
      </c>
      <c r="I58" s="49">
        <f>G58-H58-Inputs!$C$17</f>
        <v>1575</v>
      </c>
      <c r="J58" s="49">
        <f t="shared" si="3"/>
        <v>19150</v>
      </c>
    </row>
    <row r="59" spans="1:10">
      <c r="A59" s="46" t="s">
        <v>188</v>
      </c>
      <c r="B59" s="46">
        <v>19</v>
      </c>
      <c r="C59" s="46">
        <v>2</v>
      </c>
      <c r="D59" s="47">
        <f>D58*(1-Inputs!$C$15)+Sensitivity!$D$6</f>
        <v>9.5</v>
      </c>
      <c r="E59" s="47">
        <f>E58*(1-Inputs!$C$15)+Sensitivity!$E$6</f>
        <v>5.6999999999999984</v>
      </c>
      <c r="F59" s="48">
        <f t="shared" si="2"/>
        <v>15.2</v>
      </c>
      <c r="G59" s="49">
        <f>D59*Sensitivity!$B$6/12+E59*Sensitivity!$C$6/12</f>
        <v>5541.6666666666652</v>
      </c>
      <c r="H59" s="49">
        <f>G59*Sensitivity!$F$6</f>
        <v>1108.333333333333</v>
      </c>
      <c r="I59" s="49">
        <f>G59-H59-Inputs!$C$17</f>
        <v>1808.3333333333321</v>
      </c>
      <c r="J59" s="49">
        <f t="shared" si="3"/>
        <v>20958.333333333332</v>
      </c>
    </row>
    <row r="60" spans="1:10">
      <c r="A60" s="46" t="s">
        <v>188</v>
      </c>
      <c r="B60" s="46">
        <v>20</v>
      </c>
      <c r="C60" s="46">
        <v>2</v>
      </c>
      <c r="D60" s="47">
        <f>D59*(1-Inputs!$C$15)+Sensitivity!$D$6</f>
        <v>10</v>
      </c>
      <c r="E60" s="47">
        <f>E59*(1-Inputs!$C$15)+Sensitivity!$E$6</f>
        <v>5.9999999999999982</v>
      </c>
      <c r="F60" s="48">
        <f t="shared" si="2"/>
        <v>15.999999999999998</v>
      </c>
      <c r="G60" s="49">
        <f>D60*Sensitivity!$B$6/12+E60*Sensitivity!$C$6/12</f>
        <v>5833.3333333333321</v>
      </c>
      <c r="H60" s="49">
        <f>G60*Sensitivity!$F$6</f>
        <v>1166.6666666666665</v>
      </c>
      <c r="I60" s="49">
        <f>G60-H60-Inputs!$C$17</f>
        <v>2041.6666666666661</v>
      </c>
      <c r="J60" s="49">
        <f t="shared" si="3"/>
        <v>23000</v>
      </c>
    </row>
    <row r="61" spans="1:10">
      <c r="A61" s="46" t="s">
        <v>188</v>
      </c>
      <c r="B61" s="46">
        <v>21</v>
      </c>
      <c r="C61" s="46">
        <v>2</v>
      </c>
      <c r="D61" s="47">
        <f>D60*(1-Inputs!$C$15)+Sensitivity!$D$6</f>
        <v>10.5</v>
      </c>
      <c r="E61" s="47">
        <f>E60*(1-Inputs!$C$15)+Sensitivity!$E$6</f>
        <v>6.299999999999998</v>
      </c>
      <c r="F61" s="48">
        <f t="shared" si="2"/>
        <v>16.799999999999997</v>
      </c>
      <c r="G61" s="49">
        <f>D61*Sensitivity!$B$6/12+E61*Sensitivity!$C$6/12</f>
        <v>6124.9999999999982</v>
      </c>
      <c r="H61" s="49">
        <f>G61*Sensitivity!$F$6</f>
        <v>1224.9999999999998</v>
      </c>
      <c r="I61" s="49">
        <f>G61-H61-Inputs!$C$17</f>
        <v>2274.9999999999982</v>
      </c>
      <c r="J61" s="49">
        <f t="shared" si="3"/>
        <v>25275</v>
      </c>
    </row>
    <row r="62" spans="1:10">
      <c r="A62" s="46" t="s">
        <v>188</v>
      </c>
      <c r="B62" s="46">
        <v>22</v>
      </c>
      <c r="C62" s="46">
        <v>2</v>
      </c>
      <c r="D62" s="47">
        <f>D61*(1-Inputs!$C$15)+Sensitivity!$D$6</f>
        <v>11</v>
      </c>
      <c r="E62" s="47">
        <f>E61*(1-Inputs!$C$15)+Sensitivity!$E$6</f>
        <v>6.5999999999999979</v>
      </c>
      <c r="F62" s="48">
        <f t="shared" si="2"/>
        <v>17.599999999999998</v>
      </c>
      <c r="G62" s="49">
        <f>D62*Sensitivity!$B$6/12+E62*Sensitivity!$C$6/12</f>
        <v>6416.6666666666661</v>
      </c>
      <c r="H62" s="49">
        <f>G62*Sensitivity!$F$6</f>
        <v>1283.3333333333333</v>
      </c>
      <c r="I62" s="49">
        <f>G62-H62-Inputs!$C$17</f>
        <v>2508.333333333333</v>
      </c>
      <c r="J62" s="49">
        <f t="shared" si="3"/>
        <v>27783.333333333332</v>
      </c>
    </row>
    <row r="63" spans="1:10">
      <c r="A63" s="46" t="s">
        <v>188</v>
      </c>
      <c r="B63" s="46">
        <v>23</v>
      </c>
      <c r="C63" s="46">
        <v>2</v>
      </c>
      <c r="D63" s="47">
        <f>D62*(1-Inputs!$C$15)+Sensitivity!$D$6</f>
        <v>11.5</v>
      </c>
      <c r="E63" s="47">
        <f>E62*(1-Inputs!$C$15)+Sensitivity!$E$6</f>
        <v>6.8999999999999977</v>
      </c>
      <c r="F63" s="48">
        <f t="shared" si="2"/>
        <v>18.399999999999999</v>
      </c>
      <c r="G63" s="49">
        <f>D63*Sensitivity!$B$6/12+E63*Sensitivity!$C$6/12</f>
        <v>6708.3333333333321</v>
      </c>
      <c r="H63" s="49">
        <f>G63*Sensitivity!$F$6</f>
        <v>1341.6666666666665</v>
      </c>
      <c r="I63" s="49">
        <f>G63-H63-Inputs!$C$17</f>
        <v>2741.6666666666661</v>
      </c>
      <c r="J63" s="49">
        <f t="shared" si="3"/>
        <v>30525</v>
      </c>
    </row>
    <row r="64" spans="1:10">
      <c r="A64" s="46" t="s">
        <v>188</v>
      </c>
      <c r="B64" s="46">
        <v>24</v>
      </c>
      <c r="C64" s="46">
        <v>2</v>
      </c>
      <c r="D64" s="47">
        <f>D63*(1-Inputs!$C$15)+Sensitivity!$D$6</f>
        <v>12</v>
      </c>
      <c r="E64" s="47">
        <f>E63*(1-Inputs!$C$15)+Sensitivity!$E$6</f>
        <v>7.1999999999999975</v>
      </c>
      <c r="F64" s="48">
        <f t="shared" si="2"/>
        <v>19.199999999999996</v>
      </c>
      <c r="G64" s="49">
        <f>D64*Sensitivity!$B$6/12+E64*Sensitivity!$C$6/12</f>
        <v>6999.9999999999982</v>
      </c>
      <c r="H64" s="49">
        <f>G64*Sensitivity!$F$6</f>
        <v>1399.9999999999998</v>
      </c>
      <c r="I64" s="49">
        <f>G64-H64-Inputs!$C$17</f>
        <v>2974.9999999999982</v>
      </c>
      <c r="J64" s="49">
        <f t="shared" si="3"/>
        <v>33500</v>
      </c>
    </row>
    <row r="65" spans="1:10">
      <c r="A65" s="46" t="s">
        <v>188</v>
      </c>
      <c r="B65" s="46">
        <v>25</v>
      </c>
      <c r="C65" s="46">
        <v>3</v>
      </c>
      <c r="D65" s="47">
        <f>D64*(1-Inputs!$C$15)+Sensitivity!$D$6</f>
        <v>12.5</v>
      </c>
      <c r="E65" s="47">
        <f>E64*(1-Inputs!$C$15)+Sensitivity!$E$6</f>
        <v>7.4999999999999973</v>
      </c>
      <c r="F65" s="48">
        <f t="shared" si="2"/>
        <v>19.999999999999996</v>
      </c>
      <c r="G65" s="49">
        <f>D65*Sensitivity!$B$6/12+E65*Sensitivity!$C$6/12</f>
        <v>7291.6666666666642</v>
      </c>
      <c r="H65" s="49">
        <f>G65*Sensitivity!$F$6</f>
        <v>1458.333333333333</v>
      </c>
      <c r="I65" s="49">
        <f>G65-H65-Inputs!$C$17</f>
        <v>3208.3333333333312</v>
      </c>
      <c r="J65" s="49">
        <f t="shared" si="3"/>
        <v>36708.333333333328</v>
      </c>
    </row>
    <row r="66" spans="1:10">
      <c r="A66" s="46" t="s">
        <v>188</v>
      </c>
      <c r="B66" s="46">
        <v>26</v>
      </c>
      <c r="C66" s="46">
        <v>3</v>
      </c>
      <c r="D66" s="47">
        <f>D65*(1-Inputs!$C$15)+Sensitivity!$D$6</f>
        <v>13</v>
      </c>
      <c r="E66" s="47">
        <f>E65*(1-Inputs!$C$15)+Sensitivity!$E$6</f>
        <v>7.7999999999999972</v>
      </c>
      <c r="F66" s="48">
        <f t="shared" si="2"/>
        <v>20.799999999999997</v>
      </c>
      <c r="G66" s="49">
        <f>D66*Sensitivity!$B$6/12+E66*Sensitivity!$C$6/12</f>
        <v>7583.3333333333321</v>
      </c>
      <c r="H66" s="49">
        <f>G66*Sensitivity!$F$6</f>
        <v>1516.6666666666665</v>
      </c>
      <c r="I66" s="49">
        <f>G66-H66-Inputs!$C$17</f>
        <v>3441.6666666666661</v>
      </c>
      <c r="J66" s="49">
        <f t="shared" si="3"/>
        <v>40149.999999999993</v>
      </c>
    </row>
    <row r="67" spans="1:10">
      <c r="A67" s="46" t="s">
        <v>188</v>
      </c>
      <c r="B67" s="46">
        <v>27</v>
      </c>
      <c r="C67" s="46">
        <v>3</v>
      </c>
      <c r="D67" s="47">
        <f>D66*(1-Inputs!$C$15)+Sensitivity!$D$6</f>
        <v>13.5</v>
      </c>
      <c r="E67" s="47">
        <f>E66*(1-Inputs!$C$15)+Sensitivity!$E$6</f>
        <v>8.0999999999999979</v>
      </c>
      <c r="F67" s="48">
        <f t="shared" si="2"/>
        <v>21.599999999999998</v>
      </c>
      <c r="G67" s="49">
        <f>D67*Sensitivity!$B$6/12+E67*Sensitivity!$C$6/12</f>
        <v>7874.9999999999991</v>
      </c>
      <c r="H67" s="49">
        <f>G67*Sensitivity!$F$6</f>
        <v>1575</v>
      </c>
      <c r="I67" s="49">
        <f>G67-H67-Inputs!$C$17</f>
        <v>3674.9999999999991</v>
      </c>
      <c r="J67" s="49">
        <f t="shared" si="3"/>
        <v>43824.999999999993</v>
      </c>
    </row>
    <row r="68" spans="1:10">
      <c r="A68" s="46" t="s">
        <v>188</v>
      </c>
      <c r="B68" s="46">
        <v>28</v>
      </c>
      <c r="C68" s="46">
        <v>3</v>
      </c>
      <c r="D68" s="47">
        <f>D67*(1-Inputs!$C$15)+Sensitivity!$D$6</f>
        <v>14</v>
      </c>
      <c r="E68" s="47">
        <f>E67*(1-Inputs!$C$15)+Sensitivity!$E$6</f>
        <v>8.3999999999999986</v>
      </c>
      <c r="F68" s="48">
        <f t="shared" si="2"/>
        <v>22.4</v>
      </c>
      <c r="G68" s="49">
        <f>D68*Sensitivity!$B$6/12+E68*Sensitivity!$C$6/12</f>
        <v>8166.6666666666661</v>
      </c>
      <c r="H68" s="49">
        <f>G68*Sensitivity!$F$6</f>
        <v>1633.3333333333333</v>
      </c>
      <c r="I68" s="49">
        <f>G68-H68-Inputs!$C$17</f>
        <v>3908.333333333333</v>
      </c>
      <c r="J68" s="49">
        <f t="shared" si="3"/>
        <v>47733.333333333328</v>
      </c>
    </row>
    <row r="69" spans="1:10">
      <c r="A69" s="46" t="s">
        <v>188</v>
      </c>
      <c r="B69" s="46">
        <v>29</v>
      </c>
      <c r="C69" s="46">
        <v>3</v>
      </c>
      <c r="D69" s="47">
        <f>D68*(1-Inputs!$C$15)+Sensitivity!$D$6</f>
        <v>14.5</v>
      </c>
      <c r="E69" s="47">
        <f>E68*(1-Inputs!$C$15)+Sensitivity!$E$6</f>
        <v>8.6999999999999993</v>
      </c>
      <c r="F69" s="48">
        <f t="shared" ref="F69:F100" si="4">D69+E69</f>
        <v>23.2</v>
      </c>
      <c r="G69" s="49">
        <f>D69*Sensitivity!$B$6/12+E69*Sensitivity!$C$6/12</f>
        <v>8458.3333333333321</v>
      </c>
      <c r="H69" s="49">
        <f>G69*Sensitivity!$F$6</f>
        <v>1691.6666666666665</v>
      </c>
      <c r="I69" s="49">
        <f>G69-H69-Inputs!$C$17</f>
        <v>4141.6666666666661</v>
      </c>
      <c r="J69" s="49">
        <f t="shared" si="3"/>
        <v>51874.999999999993</v>
      </c>
    </row>
    <row r="70" spans="1:10">
      <c r="A70" s="46" t="s">
        <v>188</v>
      </c>
      <c r="B70" s="46">
        <v>30</v>
      </c>
      <c r="C70" s="46">
        <v>3</v>
      </c>
      <c r="D70" s="47">
        <f>D69*(1-Inputs!$C$15)+Sensitivity!$D$6</f>
        <v>15</v>
      </c>
      <c r="E70" s="47">
        <f>E69*(1-Inputs!$C$15)+Sensitivity!$E$6</f>
        <v>9</v>
      </c>
      <c r="F70" s="48">
        <f t="shared" si="4"/>
        <v>24</v>
      </c>
      <c r="G70" s="49">
        <f>D70*Sensitivity!$B$6/12+E70*Sensitivity!$C$6/12</f>
        <v>8750</v>
      </c>
      <c r="H70" s="49">
        <f>G70*Sensitivity!$F$6</f>
        <v>1750</v>
      </c>
      <c r="I70" s="49">
        <f>G70-H70-Inputs!$C$17</f>
        <v>4375</v>
      </c>
      <c r="J70" s="49">
        <f t="shared" si="3"/>
        <v>56249.999999999993</v>
      </c>
    </row>
    <row r="71" spans="1:10">
      <c r="A71" s="46" t="s">
        <v>188</v>
      </c>
      <c r="B71" s="46">
        <v>31</v>
      </c>
      <c r="C71" s="46">
        <v>3</v>
      </c>
      <c r="D71" s="47">
        <f>D70*(1-Inputs!$C$15)+Sensitivity!$D$6</f>
        <v>15.5</v>
      </c>
      <c r="E71" s="47">
        <f>E70*(1-Inputs!$C$15)+Sensitivity!$E$6</f>
        <v>9.3000000000000007</v>
      </c>
      <c r="F71" s="48">
        <f t="shared" si="4"/>
        <v>24.8</v>
      </c>
      <c r="G71" s="49">
        <f>D71*Sensitivity!$B$6/12+E71*Sensitivity!$C$6/12</f>
        <v>9041.6666666666661</v>
      </c>
      <c r="H71" s="49">
        <f>G71*Sensitivity!$F$6</f>
        <v>1808.3333333333333</v>
      </c>
      <c r="I71" s="49">
        <f>G71-H71-Inputs!$C$17</f>
        <v>4608.333333333333</v>
      </c>
      <c r="J71" s="49">
        <f t="shared" si="3"/>
        <v>60858.333333333328</v>
      </c>
    </row>
    <row r="72" spans="1:10">
      <c r="A72" s="46" t="s">
        <v>188</v>
      </c>
      <c r="B72" s="46">
        <v>32</v>
      </c>
      <c r="C72" s="46">
        <v>3</v>
      </c>
      <c r="D72" s="47">
        <f>D71*(1-Inputs!$C$15)+Sensitivity!$D$6</f>
        <v>16</v>
      </c>
      <c r="E72" s="47">
        <f>E71*(1-Inputs!$C$15)+Sensitivity!$E$6</f>
        <v>9.6000000000000014</v>
      </c>
      <c r="F72" s="48">
        <f t="shared" si="4"/>
        <v>25.6</v>
      </c>
      <c r="G72" s="49">
        <f>D72*Sensitivity!$B$6/12+E72*Sensitivity!$C$6/12</f>
        <v>9333.3333333333339</v>
      </c>
      <c r="H72" s="49">
        <f>G72*Sensitivity!$F$6</f>
        <v>1866.666666666667</v>
      </c>
      <c r="I72" s="49">
        <f>G72-H72-Inputs!$C$17</f>
        <v>4841.666666666667</v>
      </c>
      <c r="J72" s="49">
        <f t="shared" si="3"/>
        <v>65700</v>
      </c>
    </row>
    <row r="73" spans="1:10">
      <c r="A73" s="46" t="s">
        <v>188</v>
      </c>
      <c r="B73" s="46">
        <v>33</v>
      </c>
      <c r="C73" s="46">
        <v>3</v>
      </c>
      <c r="D73" s="47">
        <f>D72*(1-Inputs!$C$15)+Sensitivity!$D$6</f>
        <v>16.5</v>
      </c>
      <c r="E73" s="47">
        <f>E72*(1-Inputs!$C$15)+Sensitivity!$E$6</f>
        <v>9.9000000000000021</v>
      </c>
      <c r="F73" s="48">
        <f t="shared" si="4"/>
        <v>26.400000000000002</v>
      </c>
      <c r="G73" s="49">
        <f>D73*Sensitivity!$B$6/12+E73*Sensitivity!$C$6/12</f>
        <v>9625</v>
      </c>
      <c r="H73" s="49">
        <f>G73*Sensitivity!$F$6</f>
        <v>1925</v>
      </c>
      <c r="I73" s="49">
        <f>G73-H73-Inputs!$C$17</f>
        <v>5075</v>
      </c>
      <c r="J73" s="49">
        <f t="shared" si="3"/>
        <v>70775</v>
      </c>
    </row>
    <row r="74" spans="1:10">
      <c r="A74" s="46" t="s">
        <v>188</v>
      </c>
      <c r="B74" s="46">
        <v>34</v>
      </c>
      <c r="C74" s="46">
        <v>3</v>
      </c>
      <c r="D74" s="47">
        <f>D73*(1-Inputs!$C$15)+Sensitivity!$D$6</f>
        <v>17</v>
      </c>
      <c r="E74" s="47">
        <f>E73*(1-Inputs!$C$15)+Sensitivity!$E$6</f>
        <v>10.200000000000003</v>
      </c>
      <c r="F74" s="48">
        <f t="shared" si="4"/>
        <v>27.200000000000003</v>
      </c>
      <c r="G74" s="49">
        <f>D74*Sensitivity!$B$6/12+E74*Sensitivity!$C$6/12</f>
        <v>9916.6666666666679</v>
      </c>
      <c r="H74" s="49">
        <f>G74*Sensitivity!$F$6</f>
        <v>1983.3333333333337</v>
      </c>
      <c r="I74" s="49">
        <f>G74-H74-Inputs!$C$17</f>
        <v>5308.3333333333339</v>
      </c>
      <c r="J74" s="49">
        <f t="shared" si="3"/>
        <v>76083.333333333328</v>
      </c>
    </row>
    <row r="75" spans="1:10">
      <c r="A75" s="46" t="s">
        <v>188</v>
      </c>
      <c r="B75" s="46">
        <v>35</v>
      </c>
      <c r="C75" s="46">
        <v>3</v>
      </c>
      <c r="D75" s="47">
        <f>D74*(1-Inputs!$C$15)+Sensitivity!$D$6</f>
        <v>17.5</v>
      </c>
      <c r="E75" s="47">
        <f>E74*(1-Inputs!$C$15)+Sensitivity!$E$6</f>
        <v>10.500000000000004</v>
      </c>
      <c r="F75" s="48">
        <f t="shared" si="4"/>
        <v>28.000000000000004</v>
      </c>
      <c r="G75" s="49">
        <f>D75*Sensitivity!$B$6/12+E75*Sensitivity!$C$6/12</f>
        <v>10208.333333333336</v>
      </c>
      <c r="H75" s="49">
        <f>G75*Sensitivity!$F$6</f>
        <v>2041.6666666666672</v>
      </c>
      <c r="I75" s="49">
        <f>G75-H75-Inputs!$C$17</f>
        <v>5541.6666666666688</v>
      </c>
      <c r="J75" s="49">
        <f t="shared" si="3"/>
        <v>81625</v>
      </c>
    </row>
    <row r="76" spans="1:10">
      <c r="A76" s="46" t="s">
        <v>188</v>
      </c>
      <c r="B76" s="46">
        <v>36</v>
      </c>
      <c r="C76" s="46">
        <v>3</v>
      </c>
      <c r="D76" s="47">
        <f>D75*(1-Inputs!$C$15)+Sensitivity!$D$6</f>
        <v>18</v>
      </c>
      <c r="E76" s="47">
        <f>E75*(1-Inputs!$C$15)+Sensitivity!$E$6</f>
        <v>10.800000000000004</v>
      </c>
      <c r="F76" s="48">
        <f t="shared" si="4"/>
        <v>28.800000000000004</v>
      </c>
      <c r="G76" s="49">
        <f>D76*Sensitivity!$B$6/12+E76*Sensitivity!$C$6/12</f>
        <v>10500.000000000004</v>
      </c>
      <c r="H76" s="49">
        <f>G76*Sensitivity!$F$6</f>
        <v>2100.0000000000009</v>
      </c>
      <c r="I76" s="49">
        <f>G76-H76-Inputs!$C$17</f>
        <v>5775.0000000000036</v>
      </c>
      <c r="J76" s="49">
        <f t="shared" si="3"/>
        <v>87400</v>
      </c>
    </row>
    <row r="77" spans="1:10">
      <c r="A77" s="46" t="s">
        <v>189</v>
      </c>
      <c r="B77" s="46">
        <v>1</v>
      </c>
      <c r="C77" s="46">
        <v>1</v>
      </c>
      <c r="D77" s="47">
        <f>Inputs!$C$9*(1-Inputs!$C$15)+Sensitivity!$D$7</f>
        <v>0.75</v>
      </c>
      <c r="E77" s="47">
        <f>Inputs!$C$10*(1-Inputs!$C$15)+Sensitivity!$E$7</f>
        <v>0.4</v>
      </c>
      <c r="F77" s="48">
        <f t="shared" si="4"/>
        <v>1.1499999999999999</v>
      </c>
      <c r="G77" s="49">
        <f>D77*Sensitivity!$B$7/12+E77*Sensitivity!$C$7/12</f>
        <v>458.33333333333331</v>
      </c>
      <c r="H77" s="49">
        <f>G77*Sensitivity!$F$7</f>
        <v>68.75</v>
      </c>
      <c r="I77" s="49">
        <f>G77-H77-Inputs!$C$17</f>
        <v>-2235.4166666666665</v>
      </c>
      <c r="J77" s="49">
        <f>Inputs!$C$5+I77</f>
        <v>24264.583333333332</v>
      </c>
    </row>
    <row r="78" spans="1:10">
      <c r="A78" s="46" t="s">
        <v>189</v>
      </c>
      <c r="B78" s="46">
        <v>2</v>
      </c>
      <c r="C78" s="46">
        <v>1</v>
      </c>
      <c r="D78" s="47">
        <f>D77*(1-Inputs!$C$15)+Sensitivity!$D$7</f>
        <v>1.5</v>
      </c>
      <c r="E78" s="47">
        <f>E77*(1-Inputs!$C$15)+Sensitivity!$E$7</f>
        <v>0.8</v>
      </c>
      <c r="F78" s="48">
        <f t="shared" si="4"/>
        <v>2.2999999999999998</v>
      </c>
      <c r="G78" s="49">
        <f>D78*Sensitivity!$B$7/12+E78*Sensitivity!$C$7/12</f>
        <v>916.66666666666663</v>
      </c>
      <c r="H78" s="49">
        <f>G78*Sensitivity!$F$7</f>
        <v>137.5</v>
      </c>
      <c r="I78" s="49">
        <f>G78-H78-Inputs!$C$17</f>
        <v>-1845.8333333333335</v>
      </c>
      <c r="J78" s="49">
        <f t="shared" ref="J78:J112" si="5">J77+I78</f>
        <v>22418.75</v>
      </c>
    </row>
    <row r="79" spans="1:10">
      <c r="A79" s="46" t="s">
        <v>189</v>
      </c>
      <c r="B79" s="46">
        <v>3</v>
      </c>
      <c r="C79" s="46">
        <v>1</v>
      </c>
      <c r="D79" s="47">
        <f>D78*(1-Inputs!$C$15)+Sensitivity!$D$7</f>
        <v>2.25</v>
      </c>
      <c r="E79" s="47">
        <f>E78*(1-Inputs!$C$15)+Sensitivity!$E$7</f>
        <v>1.2000000000000002</v>
      </c>
      <c r="F79" s="48">
        <f t="shared" si="4"/>
        <v>3.45</v>
      </c>
      <c r="G79" s="49">
        <f>D79*Sensitivity!$B$7/12+E79*Sensitivity!$C$7/12</f>
        <v>1375</v>
      </c>
      <c r="H79" s="49">
        <f>G79*Sensitivity!$F$7</f>
        <v>206.25</v>
      </c>
      <c r="I79" s="49">
        <f>G79-H79-Inputs!$C$17</f>
        <v>-1456.25</v>
      </c>
      <c r="J79" s="49">
        <f t="shared" si="5"/>
        <v>20962.5</v>
      </c>
    </row>
    <row r="80" spans="1:10">
      <c r="A80" s="46" t="s">
        <v>189</v>
      </c>
      <c r="B80" s="46">
        <v>4</v>
      </c>
      <c r="C80" s="46">
        <v>1</v>
      </c>
      <c r="D80" s="47">
        <f>D79*(1-Inputs!$C$15)+Sensitivity!$D$7</f>
        <v>3</v>
      </c>
      <c r="E80" s="47">
        <f>E79*(1-Inputs!$C$15)+Sensitivity!$E$7</f>
        <v>1.6</v>
      </c>
      <c r="F80" s="48">
        <f t="shared" si="4"/>
        <v>4.5999999999999996</v>
      </c>
      <c r="G80" s="49">
        <f>D80*Sensitivity!$B$7/12+E80*Sensitivity!$C$7/12</f>
        <v>1833.3333333333333</v>
      </c>
      <c r="H80" s="49">
        <f>G80*Sensitivity!$F$7</f>
        <v>275</v>
      </c>
      <c r="I80" s="49">
        <f>G80-H80-Inputs!$C$17</f>
        <v>-1066.6666666666667</v>
      </c>
      <c r="J80" s="49">
        <f t="shared" si="5"/>
        <v>19895.833333333332</v>
      </c>
    </row>
    <row r="81" spans="1:10">
      <c r="A81" s="46" t="s">
        <v>189</v>
      </c>
      <c r="B81" s="46">
        <v>5</v>
      </c>
      <c r="C81" s="46">
        <v>1</v>
      </c>
      <c r="D81" s="47">
        <f>D80*(1-Inputs!$C$15)+Sensitivity!$D$7</f>
        <v>3.75</v>
      </c>
      <c r="E81" s="47">
        <f>E80*(1-Inputs!$C$15)+Sensitivity!$E$7</f>
        <v>2</v>
      </c>
      <c r="F81" s="48">
        <f t="shared" si="4"/>
        <v>5.75</v>
      </c>
      <c r="G81" s="49">
        <f>D81*Sensitivity!$B$7/12+E81*Sensitivity!$C$7/12</f>
        <v>2291.666666666667</v>
      </c>
      <c r="H81" s="49">
        <f>G81*Sensitivity!$F$7</f>
        <v>343.75000000000006</v>
      </c>
      <c r="I81" s="49">
        <f>G81-H81-Inputs!$C$17</f>
        <v>-677.08333333333303</v>
      </c>
      <c r="J81" s="49">
        <f t="shared" si="5"/>
        <v>19218.75</v>
      </c>
    </row>
    <row r="82" spans="1:10">
      <c r="A82" s="46" t="s">
        <v>189</v>
      </c>
      <c r="B82" s="46">
        <v>6</v>
      </c>
      <c r="C82" s="46">
        <v>1</v>
      </c>
      <c r="D82" s="47">
        <f>D81*(1-Inputs!$C$15)+Sensitivity!$D$7</f>
        <v>4.5</v>
      </c>
      <c r="E82" s="47">
        <f>E81*(1-Inputs!$C$15)+Sensitivity!$E$7</f>
        <v>2.4</v>
      </c>
      <c r="F82" s="48">
        <f t="shared" si="4"/>
        <v>6.9</v>
      </c>
      <c r="G82" s="49">
        <f>D82*Sensitivity!$B$7/12+E82*Sensitivity!$C$7/12</f>
        <v>2750</v>
      </c>
      <c r="H82" s="49">
        <f>G82*Sensitivity!$F$7</f>
        <v>412.5</v>
      </c>
      <c r="I82" s="49">
        <f>G82-H82-Inputs!$C$17</f>
        <v>-287.5</v>
      </c>
      <c r="J82" s="49">
        <f t="shared" si="5"/>
        <v>18931.25</v>
      </c>
    </row>
    <row r="83" spans="1:10">
      <c r="A83" s="46" t="s">
        <v>189</v>
      </c>
      <c r="B83" s="46">
        <v>7</v>
      </c>
      <c r="C83" s="46">
        <v>1</v>
      </c>
      <c r="D83" s="47">
        <f>D82*(1-Inputs!$C$15)+Sensitivity!$D$7</f>
        <v>5.25</v>
      </c>
      <c r="E83" s="47">
        <f>E82*(1-Inputs!$C$15)+Sensitivity!$E$7</f>
        <v>2.8</v>
      </c>
      <c r="F83" s="48">
        <f t="shared" si="4"/>
        <v>8.0500000000000007</v>
      </c>
      <c r="G83" s="49">
        <f>D83*Sensitivity!$B$7/12+E83*Sensitivity!$C$7/12</f>
        <v>3208.333333333333</v>
      </c>
      <c r="H83" s="49">
        <f>G83*Sensitivity!$F$7</f>
        <v>481.24999999999994</v>
      </c>
      <c r="I83" s="49">
        <f>G83-H83-Inputs!$C$17</f>
        <v>102.08333333333303</v>
      </c>
      <c r="J83" s="49">
        <f t="shared" si="5"/>
        <v>19033.333333333332</v>
      </c>
    </row>
    <row r="84" spans="1:10">
      <c r="A84" s="46" t="s">
        <v>189</v>
      </c>
      <c r="B84" s="46">
        <v>8</v>
      </c>
      <c r="C84" s="46">
        <v>1</v>
      </c>
      <c r="D84" s="47">
        <f>D83*(1-Inputs!$C$15)+Sensitivity!$D$7</f>
        <v>6</v>
      </c>
      <c r="E84" s="47">
        <f>E83*(1-Inputs!$C$15)+Sensitivity!$E$7</f>
        <v>3.1999999999999997</v>
      </c>
      <c r="F84" s="48">
        <f t="shared" si="4"/>
        <v>9.1999999999999993</v>
      </c>
      <c r="G84" s="49">
        <f>D84*Sensitivity!$B$7/12+E84*Sensitivity!$C$7/12</f>
        <v>3666.6666666666665</v>
      </c>
      <c r="H84" s="49">
        <f>G84*Sensitivity!$F$7</f>
        <v>550</v>
      </c>
      <c r="I84" s="49">
        <f>G84-H84-Inputs!$C$17</f>
        <v>491.66666666666652</v>
      </c>
      <c r="J84" s="49">
        <f t="shared" si="5"/>
        <v>19525</v>
      </c>
    </row>
    <row r="85" spans="1:10">
      <c r="A85" s="46" t="s">
        <v>189</v>
      </c>
      <c r="B85" s="46">
        <v>9</v>
      </c>
      <c r="C85" s="46">
        <v>1</v>
      </c>
      <c r="D85" s="47">
        <f>D84*(1-Inputs!$C$15)+Sensitivity!$D$7</f>
        <v>6.75</v>
      </c>
      <c r="E85" s="47">
        <f>E84*(1-Inputs!$C$15)+Sensitivity!$E$7</f>
        <v>3.5999999999999996</v>
      </c>
      <c r="F85" s="48">
        <f t="shared" si="4"/>
        <v>10.35</v>
      </c>
      <c r="G85" s="49">
        <f>D85*Sensitivity!$B$7/12+E85*Sensitivity!$C$7/12</f>
        <v>4125</v>
      </c>
      <c r="H85" s="49">
        <f>G85*Sensitivity!$F$7</f>
        <v>618.75</v>
      </c>
      <c r="I85" s="49">
        <f>G85-H85-Inputs!$C$17</f>
        <v>881.25</v>
      </c>
      <c r="J85" s="49">
        <f t="shared" si="5"/>
        <v>20406.25</v>
      </c>
    </row>
    <row r="86" spans="1:10">
      <c r="A86" s="46" t="s">
        <v>189</v>
      </c>
      <c r="B86" s="46">
        <v>10</v>
      </c>
      <c r="C86" s="46">
        <v>1</v>
      </c>
      <c r="D86" s="47">
        <f>D85*(1-Inputs!$C$15)+Sensitivity!$D$7</f>
        <v>7.5</v>
      </c>
      <c r="E86" s="47">
        <f>E85*(1-Inputs!$C$15)+Sensitivity!$E$7</f>
        <v>3.9999999999999996</v>
      </c>
      <c r="F86" s="48">
        <f t="shared" si="4"/>
        <v>11.5</v>
      </c>
      <c r="G86" s="49">
        <f>D86*Sensitivity!$B$7/12+E86*Sensitivity!$C$7/12</f>
        <v>4583.3333333333321</v>
      </c>
      <c r="H86" s="49">
        <f>G86*Sensitivity!$F$7</f>
        <v>687.49999999999977</v>
      </c>
      <c r="I86" s="49">
        <f>G86-H86-Inputs!$C$17</f>
        <v>1270.8333333333321</v>
      </c>
      <c r="J86" s="49">
        <f t="shared" si="5"/>
        <v>21677.083333333332</v>
      </c>
    </row>
    <row r="87" spans="1:10">
      <c r="A87" s="46" t="s">
        <v>189</v>
      </c>
      <c r="B87" s="46">
        <v>11</v>
      </c>
      <c r="C87" s="46">
        <v>1</v>
      </c>
      <c r="D87" s="47">
        <f>D86*(1-Inputs!$C$15)+Sensitivity!$D$7</f>
        <v>8.25</v>
      </c>
      <c r="E87" s="47">
        <f>E86*(1-Inputs!$C$15)+Sensitivity!$E$7</f>
        <v>4.3999999999999995</v>
      </c>
      <c r="F87" s="48">
        <f t="shared" si="4"/>
        <v>12.649999999999999</v>
      </c>
      <c r="G87" s="49">
        <f>D87*Sensitivity!$B$7/12+E87*Sensitivity!$C$7/12</f>
        <v>5041.6666666666661</v>
      </c>
      <c r="H87" s="49">
        <f>G87*Sensitivity!$F$7</f>
        <v>756.24999999999989</v>
      </c>
      <c r="I87" s="49">
        <f>G87-H87-Inputs!$C$17</f>
        <v>1660.4166666666661</v>
      </c>
      <c r="J87" s="49">
        <f t="shared" si="5"/>
        <v>23337.5</v>
      </c>
    </row>
    <row r="88" spans="1:10">
      <c r="A88" s="46" t="s">
        <v>189</v>
      </c>
      <c r="B88" s="46">
        <v>12</v>
      </c>
      <c r="C88" s="46">
        <v>1</v>
      </c>
      <c r="D88" s="47">
        <f>D87*(1-Inputs!$C$15)+Sensitivity!$D$7</f>
        <v>9</v>
      </c>
      <c r="E88" s="47">
        <f>E87*(1-Inputs!$C$15)+Sensitivity!$E$7</f>
        <v>4.8</v>
      </c>
      <c r="F88" s="48">
        <f t="shared" si="4"/>
        <v>13.8</v>
      </c>
      <c r="G88" s="49">
        <f>D88*Sensitivity!$B$7/12+E88*Sensitivity!$C$7/12</f>
        <v>5500</v>
      </c>
      <c r="H88" s="49">
        <f>G88*Sensitivity!$F$7</f>
        <v>825</v>
      </c>
      <c r="I88" s="49">
        <f>G88-H88-Inputs!$C$17</f>
        <v>2050</v>
      </c>
      <c r="J88" s="49">
        <f t="shared" si="5"/>
        <v>25387.5</v>
      </c>
    </row>
    <row r="89" spans="1:10">
      <c r="A89" s="46" t="s">
        <v>189</v>
      </c>
      <c r="B89" s="46">
        <v>13</v>
      </c>
      <c r="C89" s="46">
        <v>2</v>
      </c>
      <c r="D89" s="47">
        <f>D88*(1-Inputs!$C$15)+Sensitivity!$D$7</f>
        <v>9.75</v>
      </c>
      <c r="E89" s="47">
        <f>E88*(1-Inputs!$C$15)+Sensitivity!$E$7</f>
        <v>5.2</v>
      </c>
      <c r="F89" s="48">
        <f t="shared" si="4"/>
        <v>14.95</v>
      </c>
      <c r="G89" s="49">
        <f>D89*Sensitivity!$B$7/12+E89*Sensitivity!$C$7/12</f>
        <v>5958.3333333333339</v>
      </c>
      <c r="H89" s="49">
        <f>G89*Sensitivity!$F$7</f>
        <v>893.75000000000011</v>
      </c>
      <c r="I89" s="49">
        <f>G89-H89-Inputs!$C$17</f>
        <v>2439.5833333333339</v>
      </c>
      <c r="J89" s="49">
        <f t="shared" si="5"/>
        <v>27827.083333333336</v>
      </c>
    </row>
    <row r="90" spans="1:10">
      <c r="A90" s="46" t="s">
        <v>189</v>
      </c>
      <c r="B90" s="46">
        <v>14</v>
      </c>
      <c r="C90" s="46">
        <v>2</v>
      </c>
      <c r="D90" s="47">
        <f>D89*(1-Inputs!$C$15)+Sensitivity!$D$7</f>
        <v>10.5</v>
      </c>
      <c r="E90" s="47">
        <f>E89*(1-Inputs!$C$15)+Sensitivity!$E$7</f>
        <v>5.6000000000000005</v>
      </c>
      <c r="F90" s="48">
        <f t="shared" si="4"/>
        <v>16.100000000000001</v>
      </c>
      <c r="G90" s="49">
        <f>D90*Sensitivity!$B$7/12+E90*Sensitivity!$C$7/12</f>
        <v>6416.6666666666679</v>
      </c>
      <c r="H90" s="49">
        <f>G90*Sensitivity!$F$7</f>
        <v>962.50000000000011</v>
      </c>
      <c r="I90" s="49">
        <f>G90-H90-Inputs!$C$17</f>
        <v>2829.1666666666679</v>
      </c>
      <c r="J90" s="49">
        <f t="shared" si="5"/>
        <v>30656.250000000004</v>
      </c>
    </row>
    <row r="91" spans="1:10">
      <c r="A91" s="46" t="s">
        <v>189</v>
      </c>
      <c r="B91" s="46">
        <v>15</v>
      </c>
      <c r="C91" s="46">
        <v>2</v>
      </c>
      <c r="D91" s="47">
        <f>D90*(1-Inputs!$C$15)+Sensitivity!$D$7</f>
        <v>11.25</v>
      </c>
      <c r="E91" s="47">
        <f>E90*(1-Inputs!$C$15)+Sensitivity!$E$7</f>
        <v>6.0000000000000009</v>
      </c>
      <c r="F91" s="48">
        <f t="shared" si="4"/>
        <v>17.25</v>
      </c>
      <c r="G91" s="49">
        <f>D91*Sensitivity!$B$7/12+E91*Sensitivity!$C$7/12</f>
        <v>6875.0000000000009</v>
      </c>
      <c r="H91" s="49">
        <f>G91*Sensitivity!$F$7</f>
        <v>1031.25</v>
      </c>
      <c r="I91" s="49">
        <f>G91-H91-Inputs!$C$17</f>
        <v>3218.7500000000009</v>
      </c>
      <c r="J91" s="49">
        <f t="shared" si="5"/>
        <v>33875.000000000007</v>
      </c>
    </row>
    <row r="92" spans="1:10">
      <c r="A92" s="46" t="s">
        <v>189</v>
      </c>
      <c r="B92" s="46">
        <v>16</v>
      </c>
      <c r="C92" s="46">
        <v>2</v>
      </c>
      <c r="D92" s="47">
        <f>D91*(1-Inputs!$C$15)+Sensitivity!$D$7</f>
        <v>12</v>
      </c>
      <c r="E92" s="47">
        <f>E91*(1-Inputs!$C$15)+Sensitivity!$E$7</f>
        <v>6.4000000000000012</v>
      </c>
      <c r="F92" s="48">
        <f t="shared" si="4"/>
        <v>18.400000000000002</v>
      </c>
      <c r="G92" s="49">
        <f>D92*Sensitivity!$B$7/12+E92*Sensitivity!$C$7/12</f>
        <v>7333.3333333333339</v>
      </c>
      <c r="H92" s="49">
        <f>G92*Sensitivity!$F$7</f>
        <v>1100</v>
      </c>
      <c r="I92" s="49">
        <f>G92-H92-Inputs!$C$17</f>
        <v>3608.3333333333339</v>
      </c>
      <c r="J92" s="49">
        <f t="shared" si="5"/>
        <v>37483.333333333343</v>
      </c>
    </row>
    <row r="93" spans="1:10">
      <c r="A93" s="46" t="s">
        <v>189</v>
      </c>
      <c r="B93" s="46">
        <v>17</v>
      </c>
      <c r="C93" s="46">
        <v>2</v>
      </c>
      <c r="D93" s="47">
        <f>D92*(1-Inputs!$C$15)+Sensitivity!$D$7</f>
        <v>12.75</v>
      </c>
      <c r="E93" s="47">
        <f>E92*(1-Inputs!$C$15)+Sensitivity!$E$7</f>
        <v>6.8000000000000016</v>
      </c>
      <c r="F93" s="48">
        <f t="shared" si="4"/>
        <v>19.55</v>
      </c>
      <c r="G93" s="49">
        <f>D93*Sensitivity!$B$7/12+E93*Sensitivity!$C$7/12</f>
        <v>7791.6666666666679</v>
      </c>
      <c r="H93" s="49">
        <f>G93*Sensitivity!$F$7</f>
        <v>1168.7500000000002</v>
      </c>
      <c r="I93" s="49">
        <f>G93-H93-Inputs!$C$17</f>
        <v>3997.9166666666679</v>
      </c>
      <c r="J93" s="49">
        <f t="shared" si="5"/>
        <v>41481.250000000015</v>
      </c>
    </row>
    <row r="94" spans="1:10">
      <c r="A94" s="46" t="s">
        <v>189</v>
      </c>
      <c r="B94" s="46">
        <v>18</v>
      </c>
      <c r="C94" s="46">
        <v>2</v>
      </c>
      <c r="D94" s="47">
        <f>D93*(1-Inputs!$C$15)+Sensitivity!$D$7</f>
        <v>13.5</v>
      </c>
      <c r="E94" s="47">
        <f>E93*(1-Inputs!$C$15)+Sensitivity!$E$7</f>
        <v>7.200000000000002</v>
      </c>
      <c r="F94" s="48">
        <f t="shared" si="4"/>
        <v>20.700000000000003</v>
      </c>
      <c r="G94" s="49">
        <f>D94*Sensitivity!$B$7/12+E94*Sensitivity!$C$7/12</f>
        <v>8250</v>
      </c>
      <c r="H94" s="49">
        <f>G94*Sensitivity!$F$7</f>
        <v>1237.5</v>
      </c>
      <c r="I94" s="49">
        <f>G94-H94-Inputs!$C$17</f>
        <v>4387.5</v>
      </c>
      <c r="J94" s="49">
        <f t="shared" si="5"/>
        <v>45868.750000000015</v>
      </c>
    </row>
    <row r="95" spans="1:10">
      <c r="A95" s="46" t="s">
        <v>189</v>
      </c>
      <c r="B95" s="46">
        <v>19</v>
      </c>
      <c r="C95" s="46">
        <v>2</v>
      </c>
      <c r="D95" s="47">
        <f>D94*(1-Inputs!$C$15)+Sensitivity!$D$7</f>
        <v>14.25</v>
      </c>
      <c r="E95" s="47">
        <f>E94*(1-Inputs!$C$15)+Sensitivity!$E$7</f>
        <v>7.6000000000000023</v>
      </c>
      <c r="F95" s="48">
        <f t="shared" si="4"/>
        <v>21.85</v>
      </c>
      <c r="G95" s="49">
        <f>D95*Sensitivity!$B$7/12+E95*Sensitivity!$C$7/12</f>
        <v>8708.3333333333358</v>
      </c>
      <c r="H95" s="49">
        <f>G95*Sensitivity!$F$7</f>
        <v>1306.2500000000002</v>
      </c>
      <c r="I95" s="49">
        <f>G95-H95-Inputs!$C$17</f>
        <v>4777.0833333333358</v>
      </c>
      <c r="J95" s="49">
        <f t="shared" si="5"/>
        <v>50645.83333333335</v>
      </c>
    </row>
    <row r="96" spans="1:10">
      <c r="A96" s="46" t="s">
        <v>189</v>
      </c>
      <c r="B96" s="46">
        <v>20</v>
      </c>
      <c r="C96" s="46">
        <v>2</v>
      </c>
      <c r="D96" s="47">
        <f>D95*(1-Inputs!$C$15)+Sensitivity!$D$7</f>
        <v>15</v>
      </c>
      <c r="E96" s="47">
        <f>E95*(1-Inputs!$C$15)+Sensitivity!$E$7</f>
        <v>8.0000000000000018</v>
      </c>
      <c r="F96" s="48">
        <f t="shared" si="4"/>
        <v>23</v>
      </c>
      <c r="G96" s="49">
        <f>D96*Sensitivity!$B$7/12+E96*Sensitivity!$C$7/12</f>
        <v>9166.6666666666679</v>
      </c>
      <c r="H96" s="49">
        <f>G96*Sensitivity!$F$7</f>
        <v>1375.0000000000002</v>
      </c>
      <c r="I96" s="49">
        <f>G96-H96-Inputs!$C$17</f>
        <v>5166.6666666666679</v>
      </c>
      <c r="J96" s="49">
        <f t="shared" si="5"/>
        <v>55812.500000000015</v>
      </c>
    </row>
    <row r="97" spans="1:10">
      <c r="A97" s="46" t="s">
        <v>189</v>
      </c>
      <c r="B97" s="46">
        <v>21</v>
      </c>
      <c r="C97" s="46">
        <v>2</v>
      </c>
      <c r="D97" s="47">
        <f>D96*(1-Inputs!$C$15)+Sensitivity!$D$7</f>
        <v>15.75</v>
      </c>
      <c r="E97" s="47">
        <f>E96*(1-Inputs!$C$15)+Sensitivity!$E$7</f>
        <v>8.4000000000000021</v>
      </c>
      <c r="F97" s="48">
        <f t="shared" si="4"/>
        <v>24.150000000000002</v>
      </c>
      <c r="G97" s="49">
        <f>D97*Sensitivity!$B$7/12+E97*Sensitivity!$C$7/12</f>
        <v>9625</v>
      </c>
      <c r="H97" s="49">
        <f>G97*Sensitivity!$F$7</f>
        <v>1443.75</v>
      </c>
      <c r="I97" s="49">
        <f>G97-H97-Inputs!$C$17</f>
        <v>5556.25</v>
      </c>
      <c r="J97" s="49">
        <f t="shared" si="5"/>
        <v>61368.750000000015</v>
      </c>
    </row>
    <row r="98" spans="1:10">
      <c r="A98" s="46" t="s">
        <v>189</v>
      </c>
      <c r="B98" s="46">
        <v>22</v>
      </c>
      <c r="C98" s="46">
        <v>2</v>
      </c>
      <c r="D98" s="47">
        <f>D97*(1-Inputs!$C$15)+Sensitivity!$D$7</f>
        <v>16.5</v>
      </c>
      <c r="E98" s="47">
        <f>E97*(1-Inputs!$C$15)+Sensitivity!$E$7</f>
        <v>8.8000000000000025</v>
      </c>
      <c r="F98" s="48">
        <f t="shared" si="4"/>
        <v>25.300000000000004</v>
      </c>
      <c r="G98" s="49">
        <f>D98*Sensitivity!$B$7/12+E98*Sensitivity!$C$7/12</f>
        <v>10083.333333333336</v>
      </c>
      <c r="H98" s="49">
        <f>G98*Sensitivity!$F$7</f>
        <v>1512.5000000000002</v>
      </c>
      <c r="I98" s="49">
        <f>G98-H98-Inputs!$C$17</f>
        <v>5945.8333333333358</v>
      </c>
      <c r="J98" s="49">
        <f t="shared" si="5"/>
        <v>67314.583333333343</v>
      </c>
    </row>
    <row r="99" spans="1:10">
      <c r="A99" s="46" t="s">
        <v>189</v>
      </c>
      <c r="B99" s="46">
        <v>23</v>
      </c>
      <c r="C99" s="46">
        <v>2</v>
      </c>
      <c r="D99" s="47">
        <f>D98*(1-Inputs!$C$15)+Sensitivity!$D$7</f>
        <v>17.25</v>
      </c>
      <c r="E99" s="47">
        <f>E98*(1-Inputs!$C$15)+Sensitivity!$E$7</f>
        <v>9.2000000000000028</v>
      </c>
      <c r="F99" s="48">
        <f t="shared" si="4"/>
        <v>26.450000000000003</v>
      </c>
      <c r="G99" s="49">
        <f>D99*Sensitivity!$B$7/12+E99*Sensitivity!$C$7/12</f>
        <v>10541.666666666668</v>
      </c>
      <c r="H99" s="49">
        <f>G99*Sensitivity!$F$7</f>
        <v>1581.2500000000002</v>
      </c>
      <c r="I99" s="49">
        <f>G99-H99-Inputs!$C$17</f>
        <v>6335.4166666666679</v>
      </c>
      <c r="J99" s="49">
        <f t="shared" si="5"/>
        <v>73650.000000000015</v>
      </c>
    </row>
    <row r="100" spans="1:10">
      <c r="A100" s="46" t="s">
        <v>189</v>
      </c>
      <c r="B100" s="46">
        <v>24</v>
      </c>
      <c r="C100" s="46">
        <v>2</v>
      </c>
      <c r="D100" s="47">
        <f>D99*(1-Inputs!$C$15)+Sensitivity!$D$7</f>
        <v>18</v>
      </c>
      <c r="E100" s="47">
        <f>E99*(1-Inputs!$C$15)+Sensitivity!$E$7</f>
        <v>9.6000000000000032</v>
      </c>
      <c r="F100" s="48">
        <f t="shared" si="4"/>
        <v>27.6</v>
      </c>
      <c r="G100" s="49">
        <f>D100*Sensitivity!$B$7/12+E100*Sensitivity!$C$7/12</f>
        <v>11000.000000000004</v>
      </c>
      <c r="H100" s="49">
        <f>G100*Sensitivity!$F$7</f>
        <v>1650.0000000000005</v>
      </c>
      <c r="I100" s="49">
        <f>G100-H100-Inputs!$C$17</f>
        <v>6725.0000000000036</v>
      </c>
      <c r="J100" s="49">
        <f t="shared" si="5"/>
        <v>80375.000000000015</v>
      </c>
    </row>
    <row r="101" spans="1:10">
      <c r="A101" s="46" t="s">
        <v>189</v>
      </c>
      <c r="B101" s="46">
        <v>25</v>
      </c>
      <c r="C101" s="46">
        <v>3</v>
      </c>
      <c r="D101" s="47">
        <f>D100*(1-Inputs!$C$15)+Sensitivity!$D$7</f>
        <v>18.75</v>
      </c>
      <c r="E101" s="47">
        <f>E100*(1-Inputs!$C$15)+Sensitivity!$E$7</f>
        <v>10.000000000000004</v>
      </c>
      <c r="F101" s="48">
        <f t="shared" ref="F101:F132" si="6">D101+E101</f>
        <v>28.750000000000004</v>
      </c>
      <c r="G101" s="49">
        <f>D101*Sensitivity!$B$7/12+E101*Sensitivity!$C$7/12</f>
        <v>11458.333333333336</v>
      </c>
      <c r="H101" s="49">
        <f>G101*Sensitivity!$F$7</f>
        <v>1718.7500000000002</v>
      </c>
      <c r="I101" s="49">
        <f>G101-H101-Inputs!$C$17</f>
        <v>7114.5833333333358</v>
      </c>
      <c r="J101" s="49">
        <f t="shared" si="5"/>
        <v>87489.583333333343</v>
      </c>
    </row>
    <row r="102" spans="1:10">
      <c r="A102" s="46" t="s">
        <v>189</v>
      </c>
      <c r="B102" s="46">
        <v>26</v>
      </c>
      <c r="C102" s="46">
        <v>3</v>
      </c>
      <c r="D102" s="47">
        <f>D101*(1-Inputs!$C$15)+Sensitivity!$D$7</f>
        <v>19.5</v>
      </c>
      <c r="E102" s="47">
        <f>E101*(1-Inputs!$C$15)+Sensitivity!$E$7</f>
        <v>10.400000000000004</v>
      </c>
      <c r="F102" s="48">
        <f t="shared" si="6"/>
        <v>29.900000000000006</v>
      </c>
      <c r="G102" s="49">
        <f>D102*Sensitivity!$B$7/12+E102*Sensitivity!$C$7/12</f>
        <v>11916.666666666668</v>
      </c>
      <c r="H102" s="49">
        <f>G102*Sensitivity!$F$7</f>
        <v>1787.5000000000002</v>
      </c>
      <c r="I102" s="49">
        <f>G102-H102-Inputs!$C$17</f>
        <v>7504.1666666666679</v>
      </c>
      <c r="J102" s="49">
        <f t="shared" si="5"/>
        <v>94993.750000000015</v>
      </c>
    </row>
    <row r="103" spans="1:10">
      <c r="A103" s="46" t="s">
        <v>189</v>
      </c>
      <c r="B103" s="46">
        <v>27</v>
      </c>
      <c r="C103" s="46">
        <v>3</v>
      </c>
      <c r="D103" s="47">
        <f>D102*(1-Inputs!$C$15)+Sensitivity!$D$7</f>
        <v>20.25</v>
      </c>
      <c r="E103" s="47">
        <f>E102*(1-Inputs!$C$15)+Sensitivity!$E$7</f>
        <v>10.800000000000004</v>
      </c>
      <c r="F103" s="48">
        <f t="shared" si="6"/>
        <v>31.050000000000004</v>
      </c>
      <c r="G103" s="49">
        <f>D103*Sensitivity!$B$7/12+E103*Sensitivity!$C$7/12</f>
        <v>12375.000000000004</v>
      </c>
      <c r="H103" s="49">
        <f>G103*Sensitivity!$F$7</f>
        <v>1856.2500000000005</v>
      </c>
      <c r="I103" s="49">
        <f>G103-H103-Inputs!$C$17</f>
        <v>7893.7500000000036</v>
      </c>
      <c r="J103" s="49">
        <f t="shared" si="5"/>
        <v>102887.50000000001</v>
      </c>
    </row>
    <row r="104" spans="1:10">
      <c r="A104" s="46" t="s">
        <v>189</v>
      </c>
      <c r="B104" s="46">
        <v>28</v>
      </c>
      <c r="C104" s="46">
        <v>3</v>
      </c>
      <c r="D104" s="47">
        <f>D103*(1-Inputs!$C$15)+Sensitivity!$D$7</f>
        <v>21</v>
      </c>
      <c r="E104" s="47">
        <f>E103*(1-Inputs!$C$15)+Sensitivity!$E$7</f>
        <v>11.200000000000005</v>
      </c>
      <c r="F104" s="48">
        <f t="shared" si="6"/>
        <v>32.200000000000003</v>
      </c>
      <c r="G104" s="49">
        <f>D104*Sensitivity!$B$7/12+E104*Sensitivity!$C$7/12</f>
        <v>12833.333333333336</v>
      </c>
      <c r="H104" s="49">
        <f>G104*Sensitivity!$F$7</f>
        <v>1925.0000000000002</v>
      </c>
      <c r="I104" s="49">
        <f>G104-H104-Inputs!$C$17</f>
        <v>8283.3333333333358</v>
      </c>
      <c r="J104" s="49">
        <f t="shared" si="5"/>
        <v>111170.83333333334</v>
      </c>
    </row>
    <row r="105" spans="1:10">
      <c r="A105" s="46" t="s">
        <v>189</v>
      </c>
      <c r="B105" s="46">
        <v>29</v>
      </c>
      <c r="C105" s="46">
        <v>3</v>
      </c>
      <c r="D105" s="47">
        <f>D104*(1-Inputs!$C$15)+Sensitivity!$D$7</f>
        <v>21.75</v>
      </c>
      <c r="E105" s="47">
        <f>E104*(1-Inputs!$C$15)+Sensitivity!$E$7</f>
        <v>11.600000000000005</v>
      </c>
      <c r="F105" s="48">
        <f t="shared" si="6"/>
        <v>33.350000000000009</v>
      </c>
      <c r="G105" s="49">
        <f>D105*Sensitivity!$B$7/12+E105*Sensitivity!$C$7/12</f>
        <v>13291.66666666667</v>
      </c>
      <c r="H105" s="49">
        <f>G105*Sensitivity!$F$7</f>
        <v>1993.7500000000005</v>
      </c>
      <c r="I105" s="49">
        <f>G105-H105-Inputs!$C$17</f>
        <v>8672.9166666666697</v>
      </c>
      <c r="J105" s="49">
        <f t="shared" si="5"/>
        <v>119843.75000000001</v>
      </c>
    </row>
    <row r="106" spans="1:10">
      <c r="A106" s="46" t="s">
        <v>189</v>
      </c>
      <c r="B106" s="46">
        <v>30</v>
      </c>
      <c r="C106" s="46">
        <v>3</v>
      </c>
      <c r="D106" s="47">
        <f>D105*(1-Inputs!$C$15)+Sensitivity!$D$7</f>
        <v>22.5</v>
      </c>
      <c r="E106" s="47">
        <f>E105*(1-Inputs!$C$15)+Sensitivity!$E$7</f>
        <v>12.000000000000005</v>
      </c>
      <c r="F106" s="48">
        <f t="shared" si="6"/>
        <v>34.500000000000007</v>
      </c>
      <c r="G106" s="49">
        <f>D106*Sensitivity!$B$7/12+E106*Sensitivity!$C$7/12</f>
        <v>13750.000000000004</v>
      </c>
      <c r="H106" s="49">
        <f>G106*Sensitivity!$F$7</f>
        <v>2062.5000000000005</v>
      </c>
      <c r="I106" s="49">
        <f>G106-H106-Inputs!$C$17</f>
        <v>9062.5000000000036</v>
      </c>
      <c r="J106" s="49">
        <f t="shared" si="5"/>
        <v>128906.25000000001</v>
      </c>
    </row>
    <row r="107" spans="1:10">
      <c r="A107" s="46" t="s">
        <v>189</v>
      </c>
      <c r="B107" s="46">
        <v>31</v>
      </c>
      <c r="C107" s="46">
        <v>3</v>
      </c>
      <c r="D107" s="47">
        <f>D106*(1-Inputs!$C$15)+Sensitivity!$D$7</f>
        <v>23.25</v>
      </c>
      <c r="E107" s="47">
        <f>E106*(1-Inputs!$C$15)+Sensitivity!$E$7</f>
        <v>12.400000000000006</v>
      </c>
      <c r="F107" s="48">
        <f t="shared" si="6"/>
        <v>35.650000000000006</v>
      </c>
      <c r="G107" s="49">
        <f>D107*Sensitivity!$B$7/12+E107*Sensitivity!$C$7/12</f>
        <v>14208.333333333338</v>
      </c>
      <c r="H107" s="49">
        <f>G107*Sensitivity!$F$7</f>
        <v>2131.2500000000005</v>
      </c>
      <c r="I107" s="49">
        <f>G107-H107-Inputs!$C$17</f>
        <v>9452.0833333333376</v>
      </c>
      <c r="J107" s="49">
        <f t="shared" si="5"/>
        <v>138358.33333333334</v>
      </c>
    </row>
    <row r="108" spans="1:10">
      <c r="A108" s="46" t="s">
        <v>189</v>
      </c>
      <c r="B108" s="46">
        <v>32</v>
      </c>
      <c r="C108" s="46">
        <v>3</v>
      </c>
      <c r="D108" s="47">
        <f>D107*(1-Inputs!$C$15)+Sensitivity!$D$7</f>
        <v>24</v>
      </c>
      <c r="E108" s="47">
        <f>E107*(1-Inputs!$C$15)+Sensitivity!$E$7</f>
        <v>12.800000000000006</v>
      </c>
      <c r="F108" s="48">
        <f t="shared" si="6"/>
        <v>36.800000000000004</v>
      </c>
      <c r="G108" s="49">
        <f>D108*Sensitivity!$B$7/12+E108*Sensitivity!$C$7/12</f>
        <v>14666.666666666672</v>
      </c>
      <c r="H108" s="49">
        <f>G108*Sensitivity!$F$7</f>
        <v>2200.0000000000005</v>
      </c>
      <c r="I108" s="49">
        <f>G108-H108-Inputs!$C$17</f>
        <v>9841.6666666666715</v>
      </c>
      <c r="J108" s="49">
        <f t="shared" si="5"/>
        <v>148200</v>
      </c>
    </row>
    <row r="109" spans="1:10">
      <c r="A109" s="46" t="s">
        <v>189</v>
      </c>
      <c r="B109" s="46">
        <v>33</v>
      </c>
      <c r="C109" s="46">
        <v>3</v>
      </c>
      <c r="D109" s="47">
        <f>D108*(1-Inputs!$C$15)+Sensitivity!$D$7</f>
        <v>24.75</v>
      </c>
      <c r="E109" s="47">
        <f>E108*(1-Inputs!$C$15)+Sensitivity!$E$7</f>
        <v>13.200000000000006</v>
      </c>
      <c r="F109" s="48">
        <f t="shared" si="6"/>
        <v>37.950000000000003</v>
      </c>
      <c r="G109" s="49">
        <f>D109*Sensitivity!$B$7/12+E109*Sensitivity!$C$7/12</f>
        <v>15125.000000000005</v>
      </c>
      <c r="H109" s="49">
        <f>G109*Sensitivity!$F$7</f>
        <v>2268.7500000000009</v>
      </c>
      <c r="I109" s="49">
        <f>G109-H109-Inputs!$C$17</f>
        <v>10231.250000000004</v>
      </c>
      <c r="J109" s="49">
        <f t="shared" si="5"/>
        <v>158431.25</v>
      </c>
    </row>
    <row r="110" spans="1:10">
      <c r="A110" s="46" t="s">
        <v>189</v>
      </c>
      <c r="B110" s="46">
        <v>34</v>
      </c>
      <c r="C110" s="46">
        <v>3</v>
      </c>
      <c r="D110" s="47">
        <f>D109*(1-Inputs!$C$15)+Sensitivity!$D$7</f>
        <v>25.5</v>
      </c>
      <c r="E110" s="47">
        <f>E109*(1-Inputs!$C$15)+Sensitivity!$E$7</f>
        <v>13.600000000000007</v>
      </c>
      <c r="F110" s="48">
        <f t="shared" si="6"/>
        <v>39.100000000000009</v>
      </c>
      <c r="G110" s="49">
        <f>D110*Sensitivity!$B$7/12+E110*Sensitivity!$C$7/12</f>
        <v>15583.333333333338</v>
      </c>
      <c r="H110" s="49">
        <f>G110*Sensitivity!$F$7</f>
        <v>2337.5000000000005</v>
      </c>
      <c r="I110" s="49">
        <f>G110-H110-Inputs!$C$17</f>
        <v>10620.833333333338</v>
      </c>
      <c r="J110" s="49">
        <f t="shared" si="5"/>
        <v>169052.08333333334</v>
      </c>
    </row>
    <row r="111" spans="1:10">
      <c r="A111" s="46" t="s">
        <v>189</v>
      </c>
      <c r="B111" s="46">
        <v>35</v>
      </c>
      <c r="C111" s="46">
        <v>3</v>
      </c>
      <c r="D111" s="47">
        <f>D110*(1-Inputs!$C$15)+Sensitivity!$D$7</f>
        <v>26.25</v>
      </c>
      <c r="E111" s="47">
        <f>E110*(1-Inputs!$C$15)+Sensitivity!$E$7</f>
        <v>14.000000000000007</v>
      </c>
      <c r="F111" s="48">
        <f t="shared" si="6"/>
        <v>40.250000000000007</v>
      </c>
      <c r="G111" s="49">
        <f>D111*Sensitivity!$B$7/12+E111*Sensitivity!$C$7/12</f>
        <v>16041.666666666672</v>
      </c>
      <c r="H111" s="49">
        <f>G111*Sensitivity!$F$7</f>
        <v>2406.2500000000005</v>
      </c>
      <c r="I111" s="49">
        <f>G111-H111-Inputs!$C$17</f>
        <v>11010.416666666672</v>
      </c>
      <c r="J111" s="49">
        <f t="shared" si="5"/>
        <v>180062.5</v>
      </c>
    </row>
    <row r="112" spans="1:10">
      <c r="A112" s="46" t="s">
        <v>189</v>
      </c>
      <c r="B112" s="46">
        <v>36</v>
      </c>
      <c r="C112" s="46">
        <v>3</v>
      </c>
      <c r="D112" s="47">
        <f>D111*(1-Inputs!$C$15)+Sensitivity!$D$7</f>
        <v>27</v>
      </c>
      <c r="E112" s="47">
        <f>E111*(1-Inputs!$C$15)+Sensitivity!$E$7</f>
        <v>14.400000000000007</v>
      </c>
      <c r="F112" s="48">
        <f t="shared" si="6"/>
        <v>41.400000000000006</v>
      </c>
      <c r="G112" s="49">
        <f>D112*Sensitivity!$B$7/12+E112*Sensitivity!$C$7/12</f>
        <v>16500.000000000007</v>
      </c>
      <c r="H112" s="49">
        <f>G112*Sensitivity!$F$7</f>
        <v>2475.0000000000009</v>
      </c>
      <c r="I112" s="49">
        <f>G112-H112-Inputs!$C$17</f>
        <v>11400.000000000007</v>
      </c>
      <c r="J112" s="49">
        <f t="shared" si="5"/>
        <v>191462.5</v>
      </c>
    </row>
    <row r="115" spans="1:7" ht="19.5">
      <c r="A115" s="50" t="s">
        <v>199</v>
      </c>
    </row>
    <row r="116" spans="1:7">
      <c r="A116" s="45" t="s">
        <v>178</v>
      </c>
      <c r="B116" s="45" t="s">
        <v>192</v>
      </c>
      <c r="C116" s="45" t="s">
        <v>195</v>
      </c>
      <c r="D116" s="45" t="s">
        <v>197</v>
      </c>
      <c r="E116" s="45" t="s">
        <v>200</v>
      </c>
      <c r="F116" s="45" t="s">
        <v>201</v>
      </c>
      <c r="G116" s="45" t="s">
        <v>120</v>
      </c>
    </row>
    <row r="117" spans="1:7">
      <c r="A117" s="51" t="s">
        <v>186</v>
      </c>
      <c r="B117">
        <v>1</v>
      </c>
      <c r="C117" s="52">
        <f t="shared" ref="C117:C125" si="7">SUMIFS($G$5:$G$112,$A$5:$A$112,A117,$C$5:$C$112,B117)</f>
        <v>7800</v>
      </c>
      <c r="D117" s="52">
        <f t="shared" ref="D117:D125" si="8">SUMIFS($I$5:$I$112,$A$5:$A$112,A117,$C$5:$C$112,B117)</f>
        <v>-26040</v>
      </c>
      <c r="E117" s="52">
        <f>J16</f>
        <v>460</v>
      </c>
      <c r="F117" s="53">
        <f>F16</f>
        <v>4.2</v>
      </c>
      <c r="G117" s="54">
        <f>IFERROR((C117+D117+12*Inputs!$C$17)/C117,0)</f>
        <v>1.7</v>
      </c>
    </row>
    <row r="118" spans="1:7">
      <c r="A118" s="51" t="s">
        <v>186</v>
      </c>
      <c r="B118">
        <v>2</v>
      </c>
      <c r="C118" s="52">
        <f t="shared" si="7"/>
        <v>22200</v>
      </c>
      <c r="D118" s="52">
        <f t="shared" si="8"/>
        <v>-15960</v>
      </c>
      <c r="E118" s="52">
        <f>J28</f>
        <v>-15500</v>
      </c>
      <c r="F118" s="53">
        <f>F28</f>
        <v>8.4</v>
      </c>
      <c r="G118" s="54">
        <f>IFERROR((C118+D118+12*Inputs!$C$17)/C118,0)</f>
        <v>1.7</v>
      </c>
    </row>
    <row r="119" spans="1:7">
      <c r="A119" s="51" t="s">
        <v>186</v>
      </c>
      <c r="B119">
        <v>3</v>
      </c>
      <c r="C119" s="52">
        <f t="shared" si="7"/>
        <v>36600.000000000007</v>
      </c>
      <c r="D119" s="52">
        <f t="shared" si="8"/>
        <v>-5879.9999999999909</v>
      </c>
      <c r="E119" s="52">
        <f>J40</f>
        <v>-21380</v>
      </c>
      <c r="F119" s="53">
        <f>F40</f>
        <v>12.600000000000001</v>
      </c>
      <c r="G119" s="54">
        <f>IFERROR((C119+D119+12*Inputs!$C$17)/C119,0)</f>
        <v>1.7</v>
      </c>
    </row>
    <row r="120" spans="1:7">
      <c r="A120" s="51" t="s">
        <v>188</v>
      </c>
      <c r="B120">
        <v>1</v>
      </c>
      <c r="C120" s="52">
        <f t="shared" si="7"/>
        <v>22750</v>
      </c>
      <c r="D120" s="52">
        <f t="shared" si="8"/>
        <v>-13300.000000000002</v>
      </c>
      <c r="E120" s="52">
        <f>J52</f>
        <v>13199.999999999998</v>
      </c>
      <c r="F120" s="53">
        <f>F52</f>
        <v>9.6</v>
      </c>
      <c r="G120" s="54">
        <f>IFERROR((C120+D120+12*Inputs!$C$17)/C120,0)</f>
        <v>1.8</v>
      </c>
    </row>
    <row r="121" spans="1:7">
      <c r="A121" s="51" t="s">
        <v>188</v>
      </c>
      <c r="B121">
        <v>2</v>
      </c>
      <c r="C121" s="52">
        <f t="shared" si="7"/>
        <v>64749.999999999985</v>
      </c>
      <c r="D121" s="52">
        <f t="shared" si="8"/>
        <v>20299.999999999993</v>
      </c>
      <c r="E121" s="52">
        <f>J64</f>
        <v>33500</v>
      </c>
      <c r="F121" s="53">
        <f>F64</f>
        <v>19.199999999999996</v>
      </c>
      <c r="G121" s="54">
        <f>IFERROR((C121+D121+12*Inputs!$C$17)/C121,0)</f>
        <v>1.8</v>
      </c>
    </row>
    <row r="122" spans="1:7">
      <c r="A122" s="51" t="s">
        <v>188</v>
      </c>
      <c r="B122">
        <v>3</v>
      </c>
      <c r="C122" s="52">
        <f t="shared" si="7"/>
        <v>106750</v>
      </c>
      <c r="D122" s="52">
        <f t="shared" si="8"/>
        <v>53900</v>
      </c>
      <c r="E122" s="52">
        <f>J76</f>
        <v>87400</v>
      </c>
      <c r="F122" s="53">
        <f>F76</f>
        <v>28.800000000000004</v>
      </c>
      <c r="G122" s="54">
        <f>IFERROR((C122+D122+12*Inputs!$C$17)/C122,0)</f>
        <v>1.8</v>
      </c>
    </row>
    <row r="123" spans="1:7">
      <c r="A123" s="51" t="s">
        <v>189</v>
      </c>
      <c r="B123">
        <v>1</v>
      </c>
      <c r="C123" s="52">
        <f t="shared" si="7"/>
        <v>35750</v>
      </c>
      <c r="D123" s="52">
        <f t="shared" si="8"/>
        <v>-1112.5000000000018</v>
      </c>
      <c r="E123" s="52">
        <f>J88</f>
        <v>25387.5</v>
      </c>
      <c r="F123" s="53">
        <f>F88</f>
        <v>13.8</v>
      </c>
      <c r="G123" s="54">
        <f>IFERROR((C123+D123+12*Inputs!$C$17)/C123,0)</f>
        <v>1.85</v>
      </c>
    </row>
    <row r="124" spans="1:7">
      <c r="A124" s="51" t="s">
        <v>189</v>
      </c>
      <c r="B124">
        <v>2</v>
      </c>
      <c r="C124" s="52">
        <f t="shared" si="7"/>
        <v>101750.00000000001</v>
      </c>
      <c r="D124" s="52">
        <f t="shared" si="8"/>
        <v>54987.500000000015</v>
      </c>
      <c r="E124" s="52">
        <f>J100</f>
        <v>80375.000000000015</v>
      </c>
      <c r="F124" s="53">
        <f>F100</f>
        <v>27.6</v>
      </c>
      <c r="G124" s="54">
        <f>IFERROR((C124+D124+12*Inputs!$C$17)/C124,0)</f>
        <v>1.85</v>
      </c>
    </row>
    <row r="125" spans="1:7">
      <c r="A125" s="51" t="s">
        <v>189</v>
      </c>
      <c r="B125">
        <v>3</v>
      </c>
      <c r="C125" s="52">
        <f t="shared" si="7"/>
        <v>167750.00000000006</v>
      </c>
      <c r="D125" s="52">
        <f t="shared" si="8"/>
        <v>111087.50000000006</v>
      </c>
      <c r="E125" s="52">
        <f>J112</f>
        <v>191462.5</v>
      </c>
      <c r="F125" s="53">
        <f>F112</f>
        <v>41.400000000000006</v>
      </c>
      <c r="G125" s="54">
        <f>IFERROR((C125+D125+12*Inputs!$C$17)/C125,0)</f>
        <v>1.85</v>
      </c>
    </row>
    <row r="129" spans="12:15" ht="15.75">
      <c r="L129" s="55" t="s">
        <v>202</v>
      </c>
    </row>
    <row r="130" spans="12:15">
      <c r="L130" s="56" t="s">
        <v>192</v>
      </c>
      <c r="M130" s="56" t="s">
        <v>186</v>
      </c>
      <c r="N130" s="56" t="s">
        <v>188</v>
      </c>
      <c r="O130" s="56" t="s">
        <v>189</v>
      </c>
    </row>
    <row r="131" spans="12:15">
      <c r="L131">
        <v>1</v>
      </c>
      <c r="M131" s="52">
        <f>SUMIFS($G$5:$G$112,$A$5:$A$112,M$130,$C$5:$C$112,L131)</f>
        <v>7800</v>
      </c>
      <c r="N131" s="52">
        <f>SUMIFS($G$5:$G$112,$A$5:$A$112,N$130,$C$5:$C$112,L131)</f>
        <v>22750</v>
      </c>
      <c r="O131" s="52">
        <f>SUMIFS($G$5:$G$112,$A$5:$A$112,O$130,$C$5:$C$112,L131)</f>
        <v>35750</v>
      </c>
    </row>
    <row r="132" spans="12:15">
      <c r="L132">
        <v>2</v>
      </c>
      <c r="M132" s="52">
        <f>SUMIFS($G$5:$G$112,$A$5:$A$112,M$130,$C$5:$C$112,L132)</f>
        <v>22200</v>
      </c>
      <c r="N132" s="52">
        <f>SUMIFS($G$5:$G$112,$A$5:$A$112,N$130,$C$5:$C$112,L132)</f>
        <v>64749.999999999985</v>
      </c>
      <c r="O132" s="52">
        <f>SUMIFS($G$5:$G$112,$A$5:$A$112,O$130,$C$5:$C$112,L132)</f>
        <v>101750.00000000001</v>
      </c>
    </row>
    <row r="133" spans="12:15">
      <c r="L133">
        <v>3</v>
      </c>
      <c r="M133" s="52">
        <f>SUMIFS($G$5:$G$112,$A$5:$A$112,M$130,$C$5:$C$112,L133)</f>
        <v>36600.000000000007</v>
      </c>
      <c r="N133" s="52">
        <f>SUMIFS($G$5:$G$112,$A$5:$A$112,N$130,$C$5:$C$112,L133)</f>
        <v>106750</v>
      </c>
      <c r="O133" s="52">
        <f>SUMIFS($G$5:$G$112,$A$5:$A$112,O$130,$C$5:$C$112,L133)</f>
        <v>167750.00000000006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15"/>
  <sheetViews>
    <sheetView showGridLines="0" zoomScaleNormal="100" workbookViewId="0">
      <selection sqref="A1:F1"/>
    </sheetView>
  </sheetViews>
  <sheetFormatPr defaultColWidth="8.5703125" defaultRowHeight="15"/>
  <cols>
    <col min="1" max="1" width="36" customWidth="1"/>
    <col min="2" max="2" width="21" customWidth="1"/>
    <col min="3" max="3" width="23" customWidth="1"/>
    <col min="4" max="4" width="21" customWidth="1"/>
  </cols>
  <sheetData>
    <row r="1" spans="1:6" ht="27.75">
      <c r="A1" s="4" t="s">
        <v>203</v>
      </c>
      <c r="B1" s="4"/>
      <c r="C1" s="4"/>
      <c r="D1" s="4"/>
      <c r="E1" s="4"/>
      <c r="F1" s="4"/>
    </row>
    <row r="2" spans="1:6">
      <c r="A2" s="3" t="s">
        <v>204</v>
      </c>
      <c r="B2" s="3"/>
      <c r="C2" s="3"/>
      <c r="D2" s="3"/>
      <c r="E2" s="3"/>
      <c r="F2" s="3"/>
    </row>
    <row r="3" spans="1:6">
      <c r="A3" s="2" t="s">
        <v>205</v>
      </c>
      <c r="B3" s="2"/>
      <c r="C3" s="2"/>
      <c r="D3" s="2"/>
      <c r="E3" s="2"/>
      <c r="F3" s="2"/>
    </row>
    <row r="4" spans="1:6">
      <c r="A4" s="45" t="s">
        <v>206</v>
      </c>
      <c r="B4" s="57" t="s">
        <v>207</v>
      </c>
      <c r="C4" s="57" t="s">
        <v>208</v>
      </c>
      <c r="D4" s="57" t="s">
        <v>209</v>
      </c>
    </row>
    <row r="5" spans="1:6" ht="27.75" customHeight="1">
      <c r="A5" s="58" t="s">
        <v>210</v>
      </c>
      <c r="B5" s="59">
        <v>42700</v>
      </c>
      <c r="C5" s="59">
        <v>53375</v>
      </c>
      <c r="D5" s="59">
        <v>64050</v>
      </c>
    </row>
    <row r="6" spans="1:6" ht="27.75" customHeight="1">
      <c r="A6" s="58" t="s">
        <v>211</v>
      </c>
      <c r="B6" s="59">
        <v>85400</v>
      </c>
      <c r="C6" s="59">
        <v>106750</v>
      </c>
      <c r="D6" s="59">
        <v>128100</v>
      </c>
    </row>
    <row r="7" spans="1:6" ht="27.75" customHeight="1">
      <c r="A7" s="58" t="s">
        <v>212</v>
      </c>
      <c r="B7" s="59">
        <v>128100</v>
      </c>
      <c r="C7" s="59">
        <v>160125</v>
      </c>
      <c r="D7" s="59">
        <v>192150</v>
      </c>
    </row>
    <row r="10" spans="1:6" ht="18">
      <c r="A10" s="60" t="s">
        <v>213</v>
      </c>
    </row>
    <row r="11" spans="1:6">
      <c r="A11" s="51" t="s">
        <v>214</v>
      </c>
      <c r="B11" s="61">
        <f>Sensitivity!D6</f>
        <v>0.5</v>
      </c>
      <c r="C11" s="51" t="s">
        <v>215</v>
      </c>
      <c r="D11" s="61">
        <f>Sensitivity!E6</f>
        <v>0.3</v>
      </c>
    </row>
    <row r="13" spans="1:6" ht="24.75" customHeight="1">
      <c r="A13" s="1" t="s">
        <v>216</v>
      </c>
      <c r="B13" s="1"/>
      <c r="C13" s="1"/>
      <c r="D13" s="1"/>
    </row>
    <row r="14" spans="1:6" ht="24.75" customHeight="1">
      <c r="A14" s="1"/>
      <c r="B14" s="1"/>
      <c r="C14" s="1"/>
      <c r="D14" s="1"/>
    </row>
    <row r="15" spans="1:6" ht="24.75" customHeight="1">
      <c r="A15" s="1"/>
      <c r="B15" s="1"/>
      <c r="C15" s="1"/>
      <c r="D15" s="1"/>
    </row>
  </sheetData>
  <mergeCells count="4">
    <mergeCell ref="A1:F1"/>
    <mergeCell ref="A2:F2"/>
    <mergeCell ref="A3:F3"/>
    <mergeCell ref="A13:D15"/>
  </mergeCells>
  <conditionalFormatting sqref="B5:D7">
    <cfRule type="colorScale" priority="2">
      <colorScale>
        <cfvo type="min"/>
        <cfvo type="percentile" val="50"/>
        <cfvo type="max"/>
        <color rgb="FFFCE4E4"/>
        <color rgb="FFFFF4D6"/>
        <color rgb="FFA9D6C4"/>
      </colorScale>
    </cfRule>
  </conditionalFormatting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10</vt:i4>
      </vt:variant>
      <vt:variant>
        <vt:lpstr>النطاقات المسماة</vt:lpstr>
      </vt:variant>
      <vt:variant>
        <vt:i4>1</vt:i4>
      </vt:variant>
    </vt:vector>
  </HeadingPairs>
  <TitlesOfParts>
    <vt:vector size="11" baseType="lpstr">
      <vt:lpstr>README</vt:lpstr>
      <vt:lpstr>Inputs</vt:lpstr>
      <vt:lpstr>Budget_Variance</vt:lpstr>
      <vt:lpstr>Actuals_Monthly</vt:lpstr>
      <vt:lpstr>Monthly_Model</vt:lpstr>
      <vt:lpstr>Dashboard</vt:lpstr>
      <vt:lpstr>PowerBI_Export</vt:lpstr>
      <vt:lpstr>Sensitivity</vt:lpstr>
      <vt:lpstr>Three_Year_Forecast</vt:lpstr>
      <vt:lpstr>Sensitivity_3Y</vt:lpstr>
      <vt:lpstr>Sensitivity_3Y!Print_Area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2026-08-15T16:11:54Z</dcterms:created>
  <dcterms:modified xsi:type="dcterms:W3CDTF">2026-08-15T16:11:54Z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2026-08-15T10:18:48Z</dcterms:created>
  <dc:creator>openpyxl</dc:creator>
  <dc:description/>
  <dc:language>en-US</dc:language>
  <cp:lastModifiedBy>Administrator</cp:lastModifiedBy>
  <dcterms:modified xsi:type="dcterms:W3CDTF">2026-08-15T15:53:48Z</dcterms:modified>
  <cp:revision>0</cp:revision>
  <dc:subject/>
  <dc:title/>
</cp:coreProperties>
</file>