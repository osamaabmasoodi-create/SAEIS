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3073714-7D42-4AB7-AF3D-0010D86D4033}" xr6:coauthVersionLast="45" xr6:coauthVersionMax="45" xr10:uidLastSave="{00000000-0000-0000-0000-000000000000}"/>
  <bookViews>
    <workbookView xWindow="1455" yWindow="-120" windowWidth="17865" windowHeight="15600" firstSheet="3" activeTab="3" xr2:uid="{00000000-000D-0000-FFFF-FFFF00000000}"/>
  </bookViews>
  <sheets>
    <sheet name="README" sheetId="1" r:id="rId1"/>
    <sheet name="Inputs" sheetId="2" r:id="rId2"/>
    <sheet name="Budget_Variance" sheetId="3" r:id="rId3"/>
    <sheet name="Actuals_Monthly" sheetId="4" r:id="rId4"/>
    <sheet name="Monthly_Model" sheetId="5" r:id="rId5"/>
    <sheet name="Dashboard" sheetId="6" r:id="rId6"/>
    <sheet name="PowerBI_Export" sheetId="7" r:id="rId7"/>
    <sheet name="Sensitivity" sheetId="8" r:id="rId8"/>
    <sheet name="Three_Year_Forecast" sheetId="9" r:id="rId9"/>
    <sheet name="Sensitivity_3Y" sheetId="10" r:id="rId10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8" l="1"/>
  <c r="G6" i="8"/>
  <c r="G5" i="8"/>
  <c r="D17" i="6"/>
  <c r="C17" i="6"/>
  <c r="B17" i="6"/>
  <c r="D16" i="6"/>
  <c r="C16" i="6"/>
  <c r="B16" i="6"/>
  <c r="K15" i="6"/>
  <c r="I15" i="6"/>
  <c r="D15" i="6"/>
  <c r="C15" i="6"/>
  <c r="B15" i="6"/>
  <c r="K14" i="6"/>
  <c r="I14" i="6"/>
  <c r="D14" i="6"/>
  <c r="C14" i="6"/>
  <c r="B14" i="6"/>
  <c r="C8" i="6"/>
  <c r="C4" i="6"/>
  <c r="R28" i="5"/>
  <c r="Q28" i="5"/>
  <c r="S28" i="5" s="1"/>
  <c r="P28" i="5"/>
  <c r="T28" i="5" s="1"/>
  <c r="L28" i="5"/>
  <c r="B28" i="5"/>
  <c r="T27" i="5"/>
  <c r="Q27" i="5"/>
  <c r="S27" i="5" s="1"/>
  <c r="P27" i="5"/>
  <c r="R27" i="5" s="1"/>
  <c r="L27" i="5"/>
  <c r="B27" i="5"/>
  <c r="Q26" i="5"/>
  <c r="S26" i="5" s="1"/>
  <c r="P26" i="5"/>
  <c r="T26" i="5" s="1"/>
  <c r="L26" i="5"/>
  <c r="B26" i="5"/>
  <c r="T25" i="5"/>
  <c r="Q25" i="5"/>
  <c r="S25" i="5" s="1"/>
  <c r="P25" i="5"/>
  <c r="R25" i="5" s="1"/>
  <c r="L25" i="5"/>
  <c r="B25" i="5"/>
  <c r="R24" i="5"/>
  <c r="Q24" i="5"/>
  <c r="S24" i="5" s="1"/>
  <c r="P24" i="5"/>
  <c r="T24" i="5" s="1"/>
  <c r="L24" i="5"/>
  <c r="B24" i="5"/>
  <c r="T23" i="5"/>
  <c r="Q23" i="5"/>
  <c r="S23" i="5" s="1"/>
  <c r="P23" i="5"/>
  <c r="R23" i="5" s="1"/>
  <c r="L23" i="5"/>
  <c r="B23" i="5"/>
  <c r="Q22" i="5"/>
  <c r="S22" i="5" s="1"/>
  <c r="P22" i="5"/>
  <c r="L22" i="5"/>
  <c r="B22" i="5"/>
  <c r="T21" i="5"/>
  <c r="Q21" i="5"/>
  <c r="S21" i="5" s="1"/>
  <c r="P21" i="5"/>
  <c r="R21" i="5" s="1"/>
  <c r="L21" i="5"/>
  <c r="B21" i="5"/>
  <c r="R20" i="5"/>
  <c r="Q20" i="5"/>
  <c r="S20" i="5" s="1"/>
  <c r="P20" i="5"/>
  <c r="T20" i="5" s="1"/>
  <c r="L20" i="5"/>
  <c r="B20" i="5"/>
  <c r="T19" i="5"/>
  <c r="Q19" i="5"/>
  <c r="S19" i="5" s="1"/>
  <c r="P19" i="5"/>
  <c r="R19" i="5" s="1"/>
  <c r="L19" i="5"/>
  <c r="B19" i="5"/>
  <c r="Q18" i="5"/>
  <c r="S18" i="5" s="1"/>
  <c r="P18" i="5"/>
  <c r="L18" i="5"/>
  <c r="B18" i="5"/>
  <c r="T17" i="5"/>
  <c r="Q17" i="5"/>
  <c r="S17" i="5" s="1"/>
  <c r="P17" i="5"/>
  <c r="R17" i="5" s="1"/>
  <c r="L17" i="5"/>
  <c r="B17" i="5"/>
  <c r="T16" i="5"/>
  <c r="R16" i="5"/>
  <c r="Q16" i="5"/>
  <c r="S16" i="5" s="1"/>
  <c r="P16" i="5"/>
  <c r="L16" i="5"/>
  <c r="B16" i="5"/>
  <c r="T15" i="5"/>
  <c r="R15" i="5"/>
  <c r="Q15" i="5"/>
  <c r="S15" i="5" s="1"/>
  <c r="P15" i="5"/>
  <c r="L15" i="5"/>
  <c r="B15" i="5"/>
  <c r="Q14" i="5"/>
  <c r="S14" i="5" s="1"/>
  <c r="P14" i="5"/>
  <c r="L14" i="5"/>
  <c r="B14" i="5"/>
  <c r="T13" i="5"/>
  <c r="Q13" i="5"/>
  <c r="S13" i="5" s="1"/>
  <c r="P13" i="5"/>
  <c r="R13" i="5" s="1"/>
  <c r="L13" i="5"/>
  <c r="B13" i="5"/>
  <c r="T12" i="5"/>
  <c r="R12" i="5"/>
  <c r="Q12" i="5"/>
  <c r="S12" i="5" s="1"/>
  <c r="P12" i="5"/>
  <c r="L12" i="5"/>
  <c r="B12" i="5"/>
  <c r="R11" i="5"/>
  <c r="Q11" i="5"/>
  <c r="S11" i="5" s="1"/>
  <c r="P11" i="5"/>
  <c r="T11" i="5" s="1"/>
  <c r="L11" i="5"/>
  <c r="B11" i="5"/>
  <c r="R10" i="5"/>
  <c r="Q10" i="5"/>
  <c r="S10" i="5" s="1"/>
  <c r="P10" i="5"/>
  <c r="T10" i="5" s="1"/>
  <c r="L10" i="5"/>
  <c r="B10" i="5"/>
  <c r="R9" i="5"/>
  <c r="Q9" i="5"/>
  <c r="S9" i="5" s="1"/>
  <c r="P9" i="5"/>
  <c r="T9" i="5" s="1"/>
  <c r="L9" i="5"/>
  <c r="B9" i="5"/>
  <c r="R8" i="5"/>
  <c r="Q8" i="5"/>
  <c r="S8" i="5" s="1"/>
  <c r="P8" i="5"/>
  <c r="T8" i="5" s="1"/>
  <c r="L8" i="5"/>
  <c r="B8" i="5"/>
  <c r="R7" i="5"/>
  <c r="Q7" i="5"/>
  <c r="S7" i="5" s="1"/>
  <c r="P7" i="5"/>
  <c r="T7" i="5" s="1"/>
  <c r="L7" i="5"/>
  <c r="B7" i="5"/>
  <c r="R6" i="5"/>
  <c r="Q6" i="5"/>
  <c r="S6" i="5" s="1"/>
  <c r="P6" i="5"/>
  <c r="T6" i="5" s="1"/>
  <c r="L6" i="5"/>
  <c r="B6" i="5"/>
  <c r="R5" i="5"/>
  <c r="Q5" i="5"/>
  <c r="S5" i="5" s="1"/>
  <c r="P5" i="5"/>
  <c r="T5" i="5" s="1"/>
  <c r="L5" i="5"/>
  <c r="E5" i="5"/>
  <c r="F5" i="5" s="1"/>
  <c r="D5" i="5"/>
  <c r="D6" i="5" s="1"/>
  <c r="C5" i="5"/>
  <c r="C6" i="5" s="1"/>
  <c r="B5" i="5"/>
  <c r="F10" i="3"/>
  <c r="C10" i="3"/>
  <c r="E10" i="3" s="1"/>
  <c r="B10" i="3"/>
  <c r="F8" i="3"/>
  <c r="F17" i="6" s="1"/>
  <c r="E8" i="3"/>
  <c r="D8" i="3"/>
  <c r="E17" i="6" s="1"/>
  <c r="F7" i="3"/>
  <c r="F16" i="6" s="1"/>
  <c r="E7" i="3"/>
  <c r="D7" i="3"/>
  <c r="E16" i="6" s="1"/>
  <c r="F6" i="3"/>
  <c r="F15" i="6" s="1"/>
  <c r="E6" i="3"/>
  <c r="D6" i="3"/>
  <c r="E15" i="6" s="1"/>
  <c r="F5" i="3"/>
  <c r="F14" i="6" s="1"/>
  <c r="E5" i="3"/>
  <c r="D5" i="3"/>
  <c r="E14" i="6" s="1"/>
  <c r="I5" i="5" l="1"/>
  <c r="E6" i="5"/>
  <c r="T18" i="5"/>
  <c r="R18" i="5"/>
  <c r="C7" i="5"/>
  <c r="G6" i="5"/>
  <c r="F6" i="5"/>
  <c r="D7" i="5"/>
  <c r="H6" i="5"/>
  <c r="T14" i="5"/>
  <c r="R14" i="5"/>
  <c r="T22" i="5"/>
  <c r="R22" i="5"/>
  <c r="D10" i="3"/>
  <c r="G5" i="5"/>
  <c r="R26" i="5"/>
  <c r="H5" i="5"/>
  <c r="C8" i="5" l="1"/>
  <c r="G7" i="5"/>
  <c r="F7" i="5"/>
  <c r="J5" i="5"/>
  <c r="D8" i="5"/>
  <c r="H7" i="5"/>
  <c r="J6" i="5"/>
  <c r="E7" i="5"/>
  <c r="I6" i="5"/>
  <c r="D9" i="5" l="1"/>
  <c r="H8" i="5"/>
  <c r="C9" i="5"/>
  <c r="G8" i="5"/>
  <c r="F8" i="5"/>
  <c r="E8" i="5"/>
  <c r="I7" i="5"/>
  <c r="J7" i="5" s="1"/>
  <c r="K5" i="5"/>
  <c r="M5" i="5" s="1"/>
  <c r="N5" i="5" s="1"/>
  <c r="O6" i="5"/>
  <c r="K6" i="5"/>
  <c r="M6" i="5"/>
  <c r="N6" i="5" l="1"/>
  <c r="U5" i="5"/>
  <c r="O7" i="5"/>
  <c r="K7" i="5"/>
  <c r="M7" i="5"/>
  <c r="D10" i="5"/>
  <c r="H9" i="5"/>
  <c r="O5" i="5"/>
  <c r="C10" i="5"/>
  <c r="G9" i="5"/>
  <c r="E9" i="5"/>
  <c r="I8" i="5"/>
  <c r="J8" i="5" s="1"/>
  <c r="O8" i="5" l="1"/>
  <c r="K8" i="5"/>
  <c r="M8" i="5"/>
  <c r="C11" i="5"/>
  <c r="G10" i="5"/>
  <c r="D11" i="5"/>
  <c r="H10" i="5"/>
  <c r="E10" i="5"/>
  <c r="I9" i="5"/>
  <c r="N7" i="5"/>
  <c r="U6" i="5"/>
  <c r="F9" i="5"/>
  <c r="J9" i="5"/>
  <c r="N8" i="5" l="1"/>
  <c r="U7" i="5"/>
  <c r="E11" i="5"/>
  <c r="I10" i="5"/>
  <c r="J10" i="5"/>
  <c r="C12" i="5"/>
  <c r="G11" i="5"/>
  <c r="D12" i="5"/>
  <c r="H11" i="5"/>
  <c r="O9" i="5"/>
  <c r="K9" i="5"/>
  <c r="M9" i="5"/>
  <c r="F10" i="5"/>
  <c r="E12" i="5" l="1"/>
  <c r="I11" i="5"/>
  <c r="H12" i="5"/>
  <c r="D13" i="5"/>
  <c r="O10" i="5"/>
  <c r="K10" i="5"/>
  <c r="M10" i="5"/>
  <c r="N9" i="5"/>
  <c r="U8" i="5"/>
  <c r="F11" i="5"/>
  <c r="J11" i="5"/>
  <c r="C13" i="5"/>
  <c r="G12" i="5"/>
  <c r="J12" i="5" l="1"/>
  <c r="E13" i="5"/>
  <c r="I12" i="5"/>
  <c r="C14" i="5"/>
  <c r="G13" i="5"/>
  <c r="N10" i="5"/>
  <c r="U9" i="5"/>
  <c r="D14" i="5"/>
  <c r="H13" i="5"/>
  <c r="K11" i="5"/>
  <c r="O11" i="5" s="1"/>
  <c r="M11" i="5"/>
  <c r="F12" i="5"/>
  <c r="I13" i="5" l="1"/>
  <c r="E14" i="5"/>
  <c r="J13" i="5"/>
  <c r="C15" i="5"/>
  <c r="G14" i="5"/>
  <c r="F14" i="5"/>
  <c r="F13" i="5"/>
  <c r="D15" i="5"/>
  <c r="H14" i="5"/>
  <c r="O12" i="5"/>
  <c r="K12" i="5"/>
  <c r="M12" i="5"/>
  <c r="N11" i="5"/>
  <c r="U10" i="5"/>
  <c r="K13" i="5" l="1"/>
  <c r="O13" i="5" s="1"/>
  <c r="M13" i="5"/>
  <c r="N12" i="5"/>
  <c r="U11" i="5"/>
  <c r="J14" i="5"/>
  <c r="E15" i="5"/>
  <c r="I14" i="5"/>
  <c r="D16" i="5"/>
  <c r="H15" i="5"/>
  <c r="C16" i="5"/>
  <c r="G15" i="5"/>
  <c r="E16" i="5" l="1"/>
  <c r="I15" i="5"/>
  <c r="K14" i="5"/>
  <c r="O14" i="5" s="1"/>
  <c r="M14" i="5"/>
  <c r="F15" i="5"/>
  <c r="D17" i="5"/>
  <c r="H16" i="5"/>
  <c r="J15" i="5"/>
  <c r="U12" i="5"/>
  <c r="N13" i="5"/>
  <c r="C17" i="5"/>
  <c r="G16" i="5"/>
  <c r="K15" i="5" l="1"/>
  <c r="O15" i="5" s="1"/>
  <c r="M15" i="5"/>
  <c r="I16" i="5"/>
  <c r="J16" i="5" s="1"/>
  <c r="E17" i="5"/>
  <c r="C18" i="5"/>
  <c r="G17" i="5"/>
  <c r="N14" i="5"/>
  <c r="U13" i="5"/>
  <c r="D18" i="5"/>
  <c r="H17" i="5"/>
  <c r="F16" i="5"/>
  <c r="F4" i="6" l="1"/>
  <c r="K16" i="5"/>
  <c r="O16" i="5" s="1"/>
  <c r="L4" i="6" s="1"/>
  <c r="M16" i="5"/>
  <c r="I4" i="6" s="1"/>
  <c r="F8" i="6"/>
  <c r="I17" i="5"/>
  <c r="J17" i="5" s="1"/>
  <c r="E18" i="5"/>
  <c r="D19" i="5"/>
  <c r="H18" i="5"/>
  <c r="C19" i="5"/>
  <c r="G18" i="5"/>
  <c r="F18" i="5"/>
  <c r="N15" i="5"/>
  <c r="U14" i="5"/>
  <c r="F17" i="5"/>
  <c r="O17" i="5" l="1"/>
  <c r="K17" i="5"/>
  <c r="M17" i="5"/>
  <c r="J18" i="5"/>
  <c r="E19" i="5"/>
  <c r="I18" i="5"/>
  <c r="C20" i="5"/>
  <c r="G19" i="5"/>
  <c r="F19" i="5"/>
  <c r="U15" i="5"/>
  <c r="N16" i="5"/>
  <c r="D20" i="5"/>
  <c r="H19" i="5"/>
  <c r="E20" i="5" l="1"/>
  <c r="I19" i="5"/>
  <c r="D21" i="5"/>
  <c r="H20" i="5"/>
  <c r="J19" i="5"/>
  <c r="K18" i="5"/>
  <c r="O18" i="5" s="1"/>
  <c r="M18" i="5"/>
  <c r="U16" i="5"/>
  <c r="N17" i="5"/>
  <c r="C21" i="5"/>
  <c r="G20" i="5"/>
  <c r="F20" i="5"/>
  <c r="O19" i="5" l="1"/>
  <c r="K19" i="5"/>
  <c r="M19" i="5"/>
  <c r="E21" i="5"/>
  <c r="I20" i="5"/>
  <c r="J20" i="5" s="1"/>
  <c r="C22" i="5"/>
  <c r="G21" i="5"/>
  <c r="D22" i="5"/>
  <c r="H21" i="5"/>
  <c r="N18" i="5"/>
  <c r="U17" i="5"/>
  <c r="O20" i="5" l="1"/>
  <c r="K20" i="5"/>
  <c r="M20" i="5"/>
  <c r="N19" i="5"/>
  <c r="U18" i="5"/>
  <c r="E22" i="5"/>
  <c r="I21" i="5"/>
  <c r="C23" i="5"/>
  <c r="G22" i="5"/>
  <c r="F22" i="5"/>
  <c r="D23" i="5"/>
  <c r="H22" i="5"/>
  <c r="J21" i="5"/>
  <c r="F21" i="5"/>
  <c r="O21" i="5" l="1"/>
  <c r="K21" i="5"/>
  <c r="M21" i="5"/>
  <c r="C24" i="5"/>
  <c r="G23" i="5"/>
  <c r="U19" i="5"/>
  <c r="N20" i="5"/>
  <c r="H23" i="5"/>
  <c r="D24" i="5"/>
  <c r="E23" i="5"/>
  <c r="I22" i="5"/>
  <c r="J22" i="5" s="1"/>
  <c r="K22" i="5" l="1"/>
  <c r="O22" i="5" s="1"/>
  <c r="M22" i="5"/>
  <c r="C25" i="5"/>
  <c r="G24" i="5"/>
  <c r="E24" i="5"/>
  <c r="I23" i="5"/>
  <c r="J23" i="5" s="1"/>
  <c r="D25" i="5"/>
  <c r="H24" i="5"/>
  <c r="F23" i="5"/>
  <c r="U20" i="5"/>
  <c r="N21" i="5"/>
  <c r="K23" i="5" l="1"/>
  <c r="O23" i="5" s="1"/>
  <c r="M23" i="5"/>
  <c r="E25" i="5"/>
  <c r="I24" i="5"/>
  <c r="F24" i="5"/>
  <c r="C26" i="5"/>
  <c r="G25" i="5"/>
  <c r="U21" i="5"/>
  <c r="N22" i="5"/>
  <c r="D26" i="5"/>
  <c r="H25" i="5"/>
  <c r="J24" i="5"/>
  <c r="H26" i="5" l="1"/>
  <c r="D27" i="5"/>
  <c r="E26" i="5"/>
  <c r="F26" i="5" s="1"/>
  <c r="I25" i="5"/>
  <c r="J25" i="5" s="1"/>
  <c r="C27" i="5"/>
  <c r="G26" i="5"/>
  <c r="O24" i="5"/>
  <c r="K24" i="5"/>
  <c r="M24" i="5"/>
  <c r="U22" i="5"/>
  <c r="N23" i="5"/>
  <c r="F25" i="5"/>
  <c r="K25" i="5" l="1"/>
  <c r="O25" i="5" s="1"/>
  <c r="M25" i="5"/>
  <c r="H27" i="5"/>
  <c r="D28" i="5"/>
  <c r="H28" i="5" s="1"/>
  <c r="E27" i="5"/>
  <c r="I26" i="5"/>
  <c r="J26" i="5" s="1"/>
  <c r="U23" i="5"/>
  <c r="N24" i="5"/>
  <c r="C28" i="5"/>
  <c r="G27" i="5"/>
  <c r="O26" i="5" l="1"/>
  <c r="K26" i="5"/>
  <c r="M26" i="5"/>
  <c r="E28" i="5"/>
  <c r="I28" i="5" s="1"/>
  <c r="I27" i="5"/>
  <c r="J27" i="5" s="1"/>
  <c r="U24" i="5"/>
  <c r="N25" i="5"/>
  <c r="G28" i="5"/>
  <c r="J28" i="5" s="1"/>
  <c r="F27" i="5"/>
  <c r="K27" i="5" l="1"/>
  <c r="O27" i="5" s="1"/>
  <c r="U25" i="5"/>
  <c r="N26" i="5"/>
  <c r="F28" i="5"/>
  <c r="K28" i="5"/>
  <c r="M28" i="5" s="1"/>
  <c r="O28" i="5" l="1"/>
  <c r="M27" i="5"/>
  <c r="U26" i="5"/>
  <c r="N27" i="5"/>
  <c r="U27" i="5" l="1"/>
  <c r="N28" i="5"/>
  <c r="L8" i="6" l="1"/>
  <c r="U28" i="5"/>
  <c r="I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الحالة: مدخل من سياق المشروع | مبلغ طلب التمويل المذكور سابقًا في العرض.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الحالة: من العرض | المنشآت الصغيرة.</t>
        </r>
      </text>
    </comment>
    <comment ref="C7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الحالة: من العرض | الشركات المتوسطة.</t>
        </r>
      </text>
    </comment>
    <comment ref="C8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الحالة: يحتاج إدخالًا | السعر حسب المتطلبات، لذلك يترك صفرًا حتى يحدد الفريق السعر.</t>
        </r>
      </text>
    </comment>
    <comment ref="C9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الحالة: افتراض تخطيطي | عدّل حسب العملاء الحاليين أو التجارب المتوقعة.</t>
        </r>
      </text>
    </comment>
    <comment ref="C10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الحالة: افتراض تخطيطي | عدّل حسب العملاء الحاليين أو التجارب المتوقعة.</t>
        </r>
      </text>
    </comment>
    <comment ref="C11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الحالة: افتراض تخطيطي | اتركه صفرًا حتى تتوافر عقود المؤسسات.</t>
        </r>
      </text>
    </comment>
    <comment ref="C12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الحالة: افتراض تخطيطي | قابل للتغيير إلى خطة المبيعات الواقعية.</t>
        </r>
      </text>
    </comment>
    <comment ref="C13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الحالة: افتراض تخطيطي | قابل للتغيير إلى خطة المبيعات الواقعية.</t>
        </r>
      </text>
    </comment>
    <comment ref="C14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الحالة: افتراض تخطيطي | يتطلب سعرًا سنويًا مدخلًا.</t>
        </r>
      </text>
    </comment>
    <comment ref="C15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الحالة: افتراض تخطيطي | عدّل بعد توفر بيانات الاحتفاظ.</t>
        </r>
      </text>
    </comment>
    <comment ref="C16" authorId="0" shapeId="0" xr:uid="{00000000-0006-0000-0100-00000C000000}">
      <text>
        <r>
          <rPr>
            <sz val="11"/>
            <color theme="1"/>
            <rFont val="Calibri"/>
            <family val="2"/>
            <charset val="1"/>
          </rPr>
          <t>الحالة: افتراض تخطيطي | تستخدم لحساب هامش المساهمة.</t>
        </r>
      </text>
    </comment>
    <comment ref="C17" authorId="0" shapeId="0" xr:uid="{00000000-0006-0000-0100-00000D000000}">
      <text>
        <r>
          <rPr>
            <sz val="11"/>
            <color theme="1"/>
            <rFont val="Calibri"/>
            <family val="2"/>
            <charset val="1"/>
          </rPr>
          <t>الحالة: افتراض تخطيطي | يشمل التشغيل الأساسي قبل التوسع.</t>
        </r>
      </text>
    </comment>
    <comment ref="C18" authorId="0" shapeId="0" xr:uid="{00000000-0006-0000-0100-00000E000000}">
      <text>
        <r>
          <rPr>
            <sz val="11"/>
            <color theme="1"/>
            <rFont val="Calibri"/>
            <family val="2"/>
            <charset val="1"/>
          </rPr>
          <t>الحالة: اختيار النموذج | الفترة المستخدمة في الرسوم والتدفق التراكمي.</t>
        </r>
      </text>
    </comment>
    <comment ref="C19" authorId="0" shapeId="0" xr:uid="{00000000-0006-0000-0100-00000F000000}">
      <text>
        <r>
          <rPr>
            <sz val="11"/>
            <color theme="1"/>
            <rFont val="Calibri"/>
            <family val="2"/>
            <charset val="1"/>
          </rPr>
          <t>الحالة: هدف من العرض | يعرض كهدف أداء وليس نتيجة فعلية.</t>
        </r>
      </text>
    </comment>
    <comment ref="C20" authorId="0" shapeId="0" xr:uid="{00000000-0006-0000-0100-000010000000}">
      <text>
        <r>
          <rPr>
            <sz val="11"/>
            <color theme="1"/>
            <rFont val="Calibri"/>
            <family val="2"/>
            <charset val="1"/>
          </rPr>
          <t>الحالة: هدف من العرض | يعرض كهدف أداء وليس نتيجة فعلية.</t>
        </r>
      </text>
    </comment>
  </commentList>
</comments>
</file>

<file path=xl/sharedStrings.xml><?xml version="1.0" encoding="utf-8"?>
<sst xmlns="http://schemas.openxmlformats.org/spreadsheetml/2006/main" count="414" uniqueCount="204">
  <si>
    <t>SAEIS | دليل النموذج المالي ولوحة Power BI</t>
  </si>
  <si>
    <t>نسخة محدثة مبنية على ملف SAEISSmartAuditPitchDeck-Updated.pdf</t>
  </si>
  <si>
    <t>الغرض</t>
  </si>
  <si>
    <t>نموذج تخطيطي قابل للتحرير لتحليل الميزانية، الإيرادات، الأرباح، الانحرافات، نقطة التعادل، وفترة الاسترداد.</t>
  </si>
  <si>
    <t>البيانات المؤكدة من العرض</t>
  </si>
  <si>
    <t>أسعار الباقات السنوية: 2,500 دولار للباقة الأساسية، 7,500 دولار للباقة الاحترافية، وباقة المؤسسات حسب المتطلبات. كما يذكر العرض أهداف أثر بنسبة 90% لدقة اكتشاف الأخطاء و60% لتقليل وقت التدقيق.</t>
  </si>
  <si>
    <t>البيانات القابلة للتحرير</t>
  </si>
  <si>
    <t>عدد العملاء، سرعة اكتساب العملاء، التكلفة المتغيرة، التكاليف الثابتة، المصروفات الفعلية، وتوزيع الميزانية. القيم الافتراضية في Inputs سيناريو تخطيطي وليست نتائج محققة.</t>
  </si>
  <si>
    <t>طريقة الاستخدام</t>
  </si>
  <si>
    <t>عدّل الخلايا الزرقاء في Inputs وActuals_Monthly وBudget_Variance، ثم افتح PowerBI_Export في Power BI أو انسخه إلى نموذج البيانات.</t>
  </si>
  <si>
    <t>تعريف نقطة التعادل</t>
  </si>
  <si>
    <t>نقطة التعادل الشهرية = التكاليف الثابتة الشهرية ÷ هامش المساهمة. عدد العملاء المكافئ = نقطة التعادل الشهرية ÷ متوسط الإيراد الشهري للعميل.</t>
  </si>
  <si>
    <t>تعريف فترة الاسترداد</t>
  </si>
  <si>
    <t>عدد الأشهر حتى يصبح التدفق النقدي التراكمي بعد طرح التمويل الأولي غير سالب.</t>
  </si>
  <si>
    <t>ملاحظة مهمة</t>
  </si>
  <si>
    <t>لا تمثل القيم الافتراضية توقعًا ماليًا نهائيًا. استخدم بيانات العقود والتكاليف الفعلية قبل مشاركة النتائج مع الممولين.</t>
  </si>
  <si>
    <t>SAEIS | الافتراضات والمدخلات</t>
  </si>
  <si>
    <t>الخلايا الزرقاء قابلة للتعديل. المصادر المعلّمة من العرض، بينما الافتراضات التشغيلية تحتاج إلى تحقق من الفريق.</t>
  </si>
  <si>
    <t>الفئة</t>
  </si>
  <si>
    <t>المتغير</t>
  </si>
  <si>
    <t>القيمة</t>
  </si>
  <si>
    <t>الوحدة</t>
  </si>
  <si>
    <t>الحالة</t>
  </si>
  <si>
    <t>المصدر أو الملاحظة</t>
  </si>
  <si>
    <t>تمويل</t>
  </si>
  <si>
    <t>طلب التمويل</t>
  </si>
  <si>
    <t>دولار</t>
  </si>
  <si>
    <t>مدخل من سياق المشروع</t>
  </si>
  <si>
    <t>مبلغ طلب التمويل المذكور سابقًا في العرض.</t>
  </si>
  <si>
    <t>التسعير</t>
  </si>
  <si>
    <t>الباقة الأساسية سنويًا</t>
  </si>
  <si>
    <t>من العرض</t>
  </si>
  <si>
    <t>المنشآت الصغيرة.</t>
  </si>
  <si>
    <t>الباقة الاحترافية سنويًا</t>
  </si>
  <si>
    <t>الشركات المتوسطة.</t>
  </si>
  <si>
    <t>باقة المؤسسات سنويًا</t>
  </si>
  <si>
    <t>يحتاج إدخالًا</t>
  </si>
  <si>
    <t>السعر حسب المتطلبات، لذلك يترك صفرًا حتى يحدد الفريق السعر.</t>
  </si>
  <si>
    <t>العملاء</t>
  </si>
  <si>
    <t>عملاء أساسيون عند البداية</t>
  </si>
  <si>
    <t>عميل</t>
  </si>
  <si>
    <t>افتراض تخطيطي</t>
  </si>
  <si>
    <t>عدّل حسب العملاء الحاليين أو التجارب المتوقعة.</t>
  </si>
  <si>
    <t>عملاء احترافيون عند البداية</t>
  </si>
  <si>
    <t>عملاء مؤسسات عند البداية</t>
  </si>
  <si>
    <t>اتركه صفرًا حتى تتوافر عقود المؤسسات.</t>
  </si>
  <si>
    <t>النمو</t>
  </si>
  <si>
    <t>عملاء أساسيون جدد شهريًا</t>
  </si>
  <si>
    <t>عميل/شهر</t>
  </si>
  <si>
    <t>قابل للتغيير إلى خطة المبيعات الواقعية.</t>
  </si>
  <si>
    <t>عملاء احترافيون جدد شهريًا</t>
  </si>
  <si>
    <t>عملاء مؤسسات جدد شهريًا</t>
  </si>
  <si>
    <t>يتطلب سعرًا سنويًا مدخلًا.</t>
  </si>
  <si>
    <t>التكلفة</t>
  </si>
  <si>
    <t>معدل الانسحاب الشهري</t>
  </si>
  <si>
    <t>%</t>
  </si>
  <si>
    <t>عدّل بعد توفر بيانات الاحتفاظ.</t>
  </si>
  <si>
    <t>التكلفة المتغيرة كنسبة من الإيراد</t>
  </si>
  <si>
    <t>تستخدم لحساب هامش المساهمة.</t>
  </si>
  <si>
    <t>التكاليف الثابتة الشهرية</t>
  </si>
  <si>
    <t>دولار/شهر</t>
  </si>
  <si>
    <t>يشمل التشغيل الأساسي قبل التوسع.</t>
  </si>
  <si>
    <t>النموذج</t>
  </si>
  <si>
    <t>أفق النموذج</t>
  </si>
  <si>
    <t>شهر</t>
  </si>
  <si>
    <t>اختيار النموذج</t>
  </si>
  <si>
    <t>الفترة المستخدمة في الرسوم والتدفق التراكمي.</t>
  </si>
  <si>
    <t>الأثر</t>
  </si>
  <si>
    <t>هدف دقة اكتشاف الأخطاء</t>
  </si>
  <si>
    <t>هدف من العرض</t>
  </si>
  <si>
    <t>يعرض كهدف أداء وليس نتيجة فعلية.</t>
  </si>
  <si>
    <t>هدف خفض وقت التدقيق</t>
  </si>
  <si>
    <t>SAEIS | الميزانية والانحرافات</t>
  </si>
  <si>
    <t>أدخل المصروف الفعلي في الخلايا الزرقاء. الانحراف الإيجابي في المصروفات يعني تجاوز الميزانية.</t>
  </si>
  <si>
    <t>البند</t>
  </si>
  <si>
    <t>الميزانية المخططة</t>
  </si>
  <si>
    <t>الفعلي</t>
  </si>
  <si>
    <t>الانحراف</t>
  </si>
  <si>
    <t>الانحراف %</t>
  </si>
  <si>
    <t>المخرج المرتبط</t>
  </si>
  <si>
    <t>بناء المنتج والنسخة التجريبية</t>
  </si>
  <si>
    <t>MVP قابل للتشغيل</t>
  </si>
  <si>
    <t>التكامل والأمان والامتثال التقني</t>
  </si>
  <si>
    <t>موصل ERP وبيئة تجربة آمنة</t>
  </si>
  <si>
    <t>إثبات السوق وتجربة العملاء</t>
  </si>
  <si>
    <t>تجارب عميل ودراسة حالة</t>
  </si>
  <si>
    <t>التشغيل والامتثال الإداري</t>
  </si>
  <si>
    <t>جاهزية تشغيلية وقانونية</t>
  </si>
  <si>
    <t>الإجمالي</t>
  </si>
  <si>
    <t>SAEIS | المدخلات الفعلية الشهرية</t>
  </si>
  <si>
    <t>أدخل القيم الفعلية المتاحة. الخلايا الفارغة لا تُعامل كصفر داخل مقارنة الأداء.</t>
  </si>
  <si>
    <t>الشهر</t>
  </si>
  <si>
    <t>الإيراد الفعلي</t>
  </si>
  <si>
    <t>التكلفة المتغيرة الفعلية</t>
  </si>
  <si>
    <t>التكاليف الثابتة الفعلية</t>
  </si>
  <si>
    <t>مصروفات أخرى فعلية</t>
  </si>
  <si>
    <t>ملاحظات</t>
  </si>
  <si>
    <t>أدخل البيانات الفعلية عند توفرها</t>
  </si>
  <si>
    <t>SAEIS | النموذج التشغيلي الشهري</t>
  </si>
  <si>
    <t>الجزء الأخضر يمثل الخطة/السيناريو، والجزء الأزرق يُسحب من Actuals_Monthly عند إدخال الفعلي.</t>
  </si>
  <si>
    <t>الربع</t>
  </si>
  <si>
    <t>عملاء أساسيون</t>
  </si>
  <si>
    <t>عملاء احترافيون</t>
  </si>
  <si>
    <t>عملاء مؤسسات</t>
  </si>
  <si>
    <t>إجمالي العملاء</t>
  </si>
  <si>
    <t>إيراد أساسي</t>
  </si>
  <si>
    <t>إيراد احترافي</t>
  </si>
  <si>
    <t>إيراد مؤسسات</t>
  </si>
  <si>
    <t>إجمالي الإيراد المخطط</t>
  </si>
  <si>
    <t>التكلفة المتغيرة المخططة</t>
  </si>
  <si>
    <t>التكاليف الثابتة المخططة</t>
  </si>
  <si>
    <t>الربح التشغيلي المخطط</t>
  </si>
  <si>
    <t>التدفق التراكمي المخطط</t>
  </si>
  <si>
    <t>هامش المساهمة</t>
  </si>
  <si>
    <t>الربح الفعلي</t>
  </si>
  <si>
    <t>انحراف الإيراد</t>
  </si>
  <si>
    <t>انحراف الربح</t>
  </si>
  <si>
    <t>حالة الفعلي</t>
  </si>
  <si>
    <t>Payback Flag</t>
  </si>
  <si>
    <t>SAEIS | لوحة المؤشرات المالية والتنفيذية</t>
  </si>
  <si>
    <t>مؤشرات الخطة الحالية، مع حقول مقارنة الفعلي عند إدخال البيانات. الأرقام الحالية سيناريو تخطيطي قابل للتعديل.</t>
  </si>
  <si>
    <t>الإيراد المخطط في الشهر 12</t>
  </si>
  <si>
    <t>الربح التشغيلي في الشهر 12</t>
  </si>
  <si>
    <t>نقطة التعادل الشهرية</t>
  </si>
  <si>
    <t>عدد العملاء عند التعادل</t>
  </si>
  <si>
    <t>فترة الاسترداد</t>
  </si>
  <si>
    <t>التدفق التراكمي في الشهر 24</t>
  </si>
  <si>
    <t>الميزانية مقابل الفعلي</t>
  </si>
  <si>
    <t>أهداف الأثر من العرض</t>
  </si>
  <si>
    <t>المخطط</t>
  </si>
  <si>
    <t>المؤشر</t>
  </si>
  <si>
    <t>الهدف</t>
  </si>
  <si>
    <t>الفجوة</t>
  </si>
  <si>
    <t>دقة اكتشاف الأخطاء</t>
  </si>
  <si>
    <t>خفض وقت التدقيق</t>
  </si>
  <si>
    <t>قراءة سريعة للممول</t>
  </si>
  <si>
    <t>اللوحة تفصل بين الخطة والفعلي: الخطة تُبنى من أسعار الباقات الواردة في العرض، بينما الفعلي يظل فارغًا حتى يدخله الفريق. لذلك فإن أي انحراف أو ربح فعلي لن يظهر إلا بعد إدخال البيانات التشغيلية الحقيقية.</t>
  </si>
  <si>
    <t>Month</t>
  </si>
  <si>
    <t>Quarter</t>
  </si>
  <si>
    <t>Basic Clients Plan</t>
  </si>
  <si>
    <t>Professional Clients Plan</t>
  </si>
  <si>
    <t>Enterprise Clients Plan</t>
  </si>
  <si>
    <t>Total Clients Plan</t>
  </si>
  <si>
    <t>Basic Revenue Plan</t>
  </si>
  <si>
    <t>Professional Revenue Plan</t>
  </si>
  <si>
    <t>Enterprise Revenue Plan</t>
  </si>
  <si>
    <t>Total Revenue Plan</t>
  </si>
  <si>
    <t>Variable Cost Plan</t>
  </si>
  <si>
    <t>Fixed Opex Plan</t>
  </si>
  <si>
    <t>Operating Profit Plan</t>
  </si>
  <si>
    <t>Cumulative Project Cash Plan</t>
  </si>
  <si>
    <t>Contribution Margin Plan</t>
  </si>
  <si>
    <t>Actual Revenue</t>
  </si>
  <si>
    <t>Actual Variable Cost</t>
  </si>
  <si>
    <t>Actual Fixed Opex</t>
  </si>
  <si>
    <t>Actual Operating Profit</t>
  </si>
  <si>
    <t>Revenue Variance</t>
  </si>
  <si>
    <t>Profit Variance</t>
  </si>
  <si>
    <t>Budget Status</t>
  </si>
  <si>
    <t>Target Error Detection</t>
  </si>
  <si>
    <t>Target Audit Time Reduction</t>
  </si>
  <si>
    <t>Q1</t>
  </si>
  <si>
    <t>Q2</t>
  </si>
  <si>
    <t>Q3</t>
  </si>
  <si>
    <t>Q4</t>
  </si>
  <si>
    <t>Q5</t>
  </si>
  <si>
    <t>Q6</t>
  </si>
  <si>
    <t>Q7</t>
  </si>
  <si>
    <t>Q8</t>
  </si>
  <si>
    <t>SAEIS | تحليل الحساسية</t>
  </si>
  <si>
    <t>اختبر تأثير أسعار الباقات والتكلفة المتغيرة وسرعة اكتساب العملاء على الربحية ونقطة التعادل.</t>
  </si>
  <si>
    <t>السيناريو</t>
  </si>
  <si>
    <t>سعر أساسي سنوي</t>
  </si>
  <si>
    <t>سعر احترافي سنوي</t>
  </si>
  <si>
    <t>عملاء أساسيون جدد/شهر</t>
  </si>
  <si>
    <t>عملاء احترافيون جدد/شهر</t>
  </si>
  <si>
    <t>تكلفة متغيرة %</t>
  </si>
  <si>
    <t>محافظ</t>
  </si>
  <si>
    <t>يرتبط بالحالة التشغيلية في النموذج الأساسي</t>
  </si>
  <si>
    <t>أساسي</t>
  </si>
  <si>
    <t>متفائل</t>
  </si>
  <si>
    <t>SAEIS | توقع الإيرادات والأرباح لثلاث سنوات</t>
  </si>
  <si>
    <t>توقع تخطيطي مبني على الافتراضات القابلة للتعديل في ورقة Inputs، وليس نتيجة فعلية أو ضمانًا ماليًا.</t>
  </si>
  <si>
    <t>السنة</t>
  </si>
  <si>
    <t>العملاء الأساسيون</t>
  </si>
  <si>
    <t>العملاء الاحترافيون</t>
  </si>
  <si>
    <t>الإيراد</t>
  </si>
  <si>
    <t>التكلفة المتغيرة</t>
  </si>
  <si>
    <t>الربح التشغيلي</t>
  </si>
  <si>
    <t>التدفق النقدي التراكمي</t>
  </si>
  <si>
    <t>ملخص السنوات</t>
  </si>
  <si>
    <t>التدفق النقدي في نهاية السنة</t>
  </si>
  <si>
    <t>العملاء في نهاية السنة</t>
  </si>
  <si>
    <t>SAEIS | تحليل حساسية إيرادات السنة الثالثة</t>
  </si>
  <si>
    <t>التأثير المشترك لتغير السعر وسرعة اكتساب العملاء، مع ثبات باقي الافتراضات.</t>
  </si>
  <si>
    <t>مضاعف نمو العملاء / مضاعف السعر</t>
  </si>
  <si>
    <t>0.8x السعر</t>
  </si>
  <si>
    <t>1.0x السعر</t>
  </si>
  <si>
    <t>1.2x السعر</t>
  </si>
  <si>
    <t>0.5x نمو العملاء</t>
  </si>
  <si>
    <t>1.0x نمو العملاء</t>
  </si>
  <si>
    <t>1.5x نمو العملاء</t>
  </si>
  <si>
    <t>طريقة القراءة</t>
  </si>
  <si>
    <t>كل خلية تمثل إيراد السنة الثالثة عند تغيير سعر الباقات ومعدل اكتساب العملاء مقارنة بالافتراض الأساسي. استخدم القيم كأداة نقاش للمخاطر، لا كهدف مضمون.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</si>
</sst>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&quot;-$&quot;#,##0;\–"/>
    <numFmt numFmtId="165" formatCode="0.0"/>
    <numFmt numFmtId="166" formatCode="0.0%;[Red]\-0.0%;\–"/>
    <numFmt numFmtId="167" formatCode="\$#,##0;[Red]\-\$#,##0;\–"/>
    <numFmt numFmtId="168" formatCode="0.0%"/>
  </numFmts>
  <fonts count="21">
    <font>
      <sz val="11"/>
      <color theme="1"/>
      <name val="Calibri"/>
      <family val="2"/>
      <charset val="1"/>
    </font>
    <font>
      <b/>
      <sz val="22"/>
      <color rgb="FFFFFFFF"/>
      <name val="Aptos Display"/>
      <charset val="1"/>
    </font>
    <font>
      <i/>
      <sz val="10"/>
      <color rgb="FF64748B"/>
      <name val="Lohit Devanagari"/>
      <family val="2"/>
    </font>
    <font>
      <b/>
      <sz val="11"/>
      <color rgb="FF0B6B52"/>
      <name val="Lohit Devanagari"/>
      <family val="2"/>
    </font>
    <font>
      <sz val="11"/>
      <color theme="1"/>
      <name val="Lohit Devanagari"/>
      <family val="2"/>
    </font>
    <font>
      <b/>
      <sz val="10"/>
      <color rgb="FFFFFFFF"/>
      <name val="Lohit Devanagari"/>
      <family val="2"/>
    </font>
    <font>
      <b/>
      <sz val="11"/>
      <color rgb="FF1F4E79"/>
      <name val="Cambria"/>
      <charset val="1"/>
    </font>
    <font>
      <b/>
      <sz val="10"/>
      <color rgb="FFFFFFFF"/>
      <name val="Aptos"/>
      <charset val="1"/>
    </font>
    <font>
      <b/>
      <sz val="11"/>
      <color rgb="FF0B6B52"/>
      <name val="Cambria"/>
      <charset val="1"/>
    </font>
    <font>
      <sz val="11"/>
      <color rgb="FF1F4E79"/>
      <name val="Cambria"/>
      <charset val="1"/>
    </font>
    <font>
      <b/>
      <sz val="11"/>
      <color rgb="FF64748B"/>
      <name val="Lohit Devanagari"/>
      <family val="2"/>
    </font>
    <font>
      <b/>
      <sz val="20"/>
      <color rgb="FF0B6B52"/>
      <name val="Cambria"/>
      <charset val="1"/>
    </font>
    <font>
      <b/>
      <sz val="20"/>
      <color rgb="FF168AAD"/>
      <name val="Cambria"/>
      <charset val="1"/>
    </font>
    <font>
      <b/>
      <sz val="20"/>
      <color rgb="FF5B5BD6"/>
      <name val="Cambria"/>
      <charset val="1"/>
    </font>
    <font>
      <b/>
      <sz val="20"/>
      <color rgb="FFC48817"/>
      <name val="Cambria"/>
      <charset val="1"/>
    </font>
    <font>
      <b/>
      <sz val="14"/>
      <color rgb="FF0B6B52"/>
      <name val="Lohit Devanagari"/>
      <family val="2"/>
    </font>
    <font>
      <b/>
      <sz val="22"/>
      <color rgb="FFFFFFFF"/>
      <name val="Aptos Display"/>
    </font>
    <font>
      <i/>
      <sz val="11"/>
      <color rgb="FF64748B"/>
      <name val="Calibri"/>
    </font>
    <font>
      <b/>
      <sz val="11"/>
      <color rgb="FFFFFFFF"/>
      <name val="Calibri"/>
    </font>
    <font>
      <b/>
      <sz val="15"/>
      <color rgb="FF0B6B52"/>
      <name val="Calibri"/>
    </font>
    <font>
      <b/>
      <sz val="14"/>
      <color rgb="FF0B6B5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01A2E"/>
        <bgColor rgb="FF000000"/>
      </patternFill>
    </fill>
    <fill>
      <patternFill patternType="solid">
        <fgColor rgb="FFDDEEFF"/>
        <bgColor rgb="FFE3F7EE"/>
      </patternFill>
    </fill>
    <fill>
      <patternFill patternType="solid">
        <fgColor rgb="FFF7FAFC"/>
        <bgColor rgb="FFFFFFFF"/>
      </patternFill>
    </fill>
    <fill>
      <patternFill patternType="solid">
        <fgColor rgb="FF0B6B52"/>
        <bgColor rgb="FF1F4E79"/>
      </patternFill>
    </fill>
    <fill>
      <patternFill patternType="solid">
        <fgColor rgb="FF101A2E"/>
      </patternFill>
    </fill>
    <fill>
      <patternFill patternType="solid">
        <fgColor rgb="FF0B6B52"/>
      </patternFill>
    </fill>
    <fill>
      <patternFill patternType="solid">
        <fgColor rgb="FFFCE4E4"/>
      </patternFill>
    </fill>
    <fill>
      <patternFill patternType="solid">
        <fgColor rgb="FFFFF4D6"/>
      </patternFill>
    </fill>
    <fill>
      <patternFill patternType="solid">
        <fgColor rgb="FFE3F7E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B887"/>
      </bottom>
      <diagonal/>
    </border>
    <border>
      <left/>
      <right/>
      <top/>
      <bottom style="thin">
        <color rgb="FFD8E1E8"/>
      </bottom>
      <diagonal/>
    </border>
    <border>
      <left/>
      <right/>
      <top/>
      <bottom style="thin">
        <color rgb="FFD8E1E8"/>
      </bottom>
      <diagonal/>
    </border>
  </borders>
  <cellStyleXfs count="1">
    <xf numFmtId="0" fontId="0" fillId="0" borderId="0"/>
  </cellStyleXfs>
  <cellXfs count="53">
    <xf numFmtId="0" fontId="0" fillId="0" borderId="0" xfId="0" applyAlignment="1"/>
    <xf numFmtId="0" fontId="0" fillId="0" borderId="0" xfId="0" applyAlignment="1"/>
    <xf numFmtId="0" fontId="0" fillId="0" borderId="0" xfId="0"/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  <xf numFmtId="165" fontId="6" fillId="3" borderId="2" xfId="0" applyNumberFormat="1" applyFont="1" applyFill="1" applyBorder="1" applyAlignment="1">
      <alignment vertical="center" wrapText="1"/>
    </xf>
    <xf numFmtId="166" fontId="6" fillId="3" borderId="2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166" fontId="8" fillId="0" borderId="2" xfId="0" applyNumberFormat="1" applyFont="1" applyBorder="1" applyAlignment="1">
      <alignment vertical="center" wrapText="1"/>
    </xf>
    <xf numFmtId="164" fontId="9" fillId="3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65" fontId="0" fillId="0" borderId="2" xfId="0" applyNumberFormat="1" applyBorder="1" applyAlignment="1">
      <alignment vertical="center" wrapText="1"/>
    </xf>
    <xf numFmtId="0" fontId="10" fillId="4" borderId="0" xfId="0" applyFont="1" applyFill="1" applyAlignment="1">
      <alignment horizontal="center"/>
    </xf>
    <xf numFmtId="164" fontId="11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3" fillId="4" borderId="0" xfId="0" applyNumberFormat="1" applyFont="1" applyFill="1" applyAlignment="1">
      <alignment horizontal="center"/>
    </xf>
    <xf numFmtId="166" fontId="11" fillId="4" borderId="0" xfId="0" applyNumberFormat="1" applyFont="1" applyFill="1" applyAlignment="1">
      <alignment horizontal="center"/>
    </xf>
    <xf numFmtId="164" fontId="14" fillId="4" borderId="0" xfId="0" applyNumberFormat="1" applyFont="1" applyFill="1" applyAlignment="1">
      <alignment horizontal="center"/>
    </xf>
    <xf numFmtId="165" fontId="14" fillId="4" borderId="0" xfId="0" applyNumberFormat="1" applyFont="1" applyFill="1" applyAlignment="1">
      <alignment horizontal="center"/>
    </xf>
    <xf numFmtId="0" fontId="15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18" fillId="7" borderId="0" xfId="0" applyFont="1" applyFill="1" applyAlignment="1">
      <alignment horizontal="center" wrapText="1"/>
    </xf>
    <xf numFmtId="0" fontId="0" fillId="0" borderId="3" xfId="0" applyBorder="1"/>
    <xf numFmtId="165" fontId="0" fillId="0" borderId="3" xfId="0" applyNumberFormat="1" applyBorder="1"/>
    <xf numFmtId="167" fontId="0" fillId="0" borderId="3" xfId="0" applyNumberFormat="1" applyBorder="1"/>
    <xf numFmtId="0" fontId="19" fillId="0" borderId="0" xfId="0" applyFont="1"/>
    <xf numFmtId="167" fontId="0" fillId="0" borderId="0" xfId="0" applyNumberFormat="1"/>
    <xf numFmtId="165" fontId="0" fillId="0" borderId="0" xfId="0" applyNumberFormat="1"/>
    <xf numFmtId="168" fontId="0" fillId="0" borderId="0" xfId="0" applyNumberFormat="1"/>
    <xf numFmtId="167" fontId="0" fillId="8" borderId="0" xfId="0" applyNumberFormat="1" applyFill="1" applyAlignment="1">
      <alignment horizontal="center"/>
    </xf>
    <xf numFmtId="167" fontId="0" fillId="9" borderId="0" xfId="0" applyNumberFormat="1" applyFill="1" applyAlignment="1">
      <alignment horizontal="center"/>
    </xf>
    <xf numFmtId="167" fontId="0" fillId="10" borderId="0" xfId="0" applyNumberFormat="1" applyFill="1" applyAlignment="1">
      <alignment horizontal="center"/>
    </xf>
    <xf numFmtId="0" fontId="20" fillId="0" borderId="0" xfId="0" applyFont="1"/>
    <xf numFmtId="0" fontId="2" fillId="0" borderId="0" xfId="0" applyFont="1" applyAlignment="1"/>
    <xf numFmtId="0" fontId="0" fillId="0" borderId="0" xfId="0" applyAlignment="1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16" fillId="6" borderId="0" xfId="0" applyFont="1" applyFill="1"/>
    <xf numFmtId="0" fontId="0" fillId="0" borderId="0" xfId="0"/>
    <xf numFmtId="0" fontId="17" fillId="0" borderId="0" xfId="0" applyFont="1"/>
    <xf numFmtId="0" fontId="0" fillId="0" borderId="0" xfId="0" applyAlignment="1">
      <alignment wrapText="1"/>
    </xf>
  </cellXfs>
  <cellStyles count="1">
    <cellStyle name="عادي" xfId="0" builtinId="0"/>
  </cellStyles>
  <dxfs count="2">
    <dxf>
      <fill>
        <patternFill>
          <bgColor rgb="FFE3F7EE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C0C0C0"/>
      <rgbColor rgb="FF878787"/>
      <rgbColor rgb="FF9999FF"/>
      <rgbColor rgb="FFBE4B48"/>
      <rgbColor rgb="FFF7FAFC"/>
      <rgbColor rgb="FFE3F7EE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B6B52"/>
      <rgbColor rgb="FF0000FF"/>
      <rgbColor rgb="FF00CCFF"/>
      <rgbColor rgb="FFDDEEFF"/>
      <rgbColor rgb="FFD8E1E8"/>
      <rgbColor rgb="FFFFFF99"/>
      <rgbColor rgb="FF99CCFF"/>
      <rgbColor rgb="FFFF99CC"/>
      <rgbColor rgb="FFCC99FF"/>
      <rgbColor rgb="FFFCE4E4"/>
      <rgbColor rgb="FF5B5BD6"/>
      <rgbColor rgb="FF33CCCC"/>
      <rgbColor rgb="FF99CC00"/>
      <rgbColor rgb="FFFFCC00"/>
      <rgbColor rgb="FFC48817"/>
      <rgbColor rgb="FFFF6600"/>
      <rgbColor rgb="FF64748B"/>
      <rgbColor rgb="FF969696"/>
      <rgbColor rgb="FF003366"/>
      <rgbColor rgb="FF11B887"/>
      <rgbColor rgb="FF101A2E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الإيرادات والأرباح المخططة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Monthly_Model!$J$4</c:f>
              <c:strCache>
                <c:ptCount val="1"/>
                <c:pt idx="0">
                  <c:v>إجمالي الإيراد المخطط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Monthly_Model!$J$5:$J$28</c:f>
              <c:numCache>
                <c:formatCode>\$#,##0;[Red]"-$"#,##0;\–</c:formatCode>
                <c:ptCount val="24"/>
                <c:pt idx="0">
                  <c:v>260.41666666666669</c:v>
                </c:pt>
                <c:pt idx="1">
                  <c:v>520.83333333333337</c:v>
                </c:pt>
                <c:pt idx="2">
                  <c:v>781.25</c:v>
                </c:pt>
                <c:pt idx="3">
                  <c:v>1041.6666666666667</c:v>
                </c:pt>
                <c:pt idx="4">
                  <c:v>1302.0833333333335</c:v>
                </c:pt>
                <c:pt idx="5">
                  <c:v>1562.5</c:v>
                </c:pt>
                <c:pt idx="6">
                  <c:v>1822.9166666666665</c:v>
                </c:pt>
                <c:pt idx="7">
                  <c:v>2083.3333333333335</c:v>
                </c:pt>
                <c:pt idx="8">
                  <c:v>2343.75</c:v>
                </c:pt>
                <c:pt idx="9">
                  <c:v>2604.166666666667</c:v>
                </c:pt>
                <c:pt idx="10">
                  <c:v>2864.583333333333</c:v>
                </c:pt>
                <c:pt idx="11">
                  <c:v>3125</c:v>
                </c:pt>
                <c:pt idx="12">
                  <c:v>3385.416666666667</c:v>
                </c:pt>
                <c:pt idx="13">
                  <c:v>3645.833333333333</c:v>
                </c:pt>
                <c:pt idx="14">
                  <c:v>3906.25</c:v>
                </c:pt>
                <c:pt idx="15">
                  <c:v>4166.666666666667</c:v>
                </c:pt>
                <c:pt idx="16">
                  <c:v>4427.083333333333</c:v>
                </c:pt>
                <c:pt idx="17">
                  <c:v>4687.5</c:v>
                </c:pt>
                <c:pt idx="18">
                  <c:v>4947.916666666667</c:v>
                </c:pt>
                <c:pt idx="19">
                  <c:v>5208.3333333333339</c:v>
                </c:pt>
                <c:pt idx="20">
                  <c:v>5468.75</c:v>
                </c:pt>
                <c:pt idx="21">
                  <c:v>5729.1666666666661</c:v>
                </c:pt>
                <c:pt idx="22">
                  <c:v>5989.5833333333339</c:v>
                </c:pt>
                <c:pt idx="23">
                  <c:v>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70-4A13-A1AB-27A29EEDD021}"/>
            </c:ext>
          </c:extLst>
        </c:ser>
        <c:ser>
          <c:idx val="1"/>
          <c:order val="1"/>
          <c:tx>
            <c:strRef>
              <c:f>Monthly_Model!$M$4</c:f>
              <c:strCache>
                <c:ptCount val="1"/>
                <c:pt idx="0">
                  <c:v>الربح التشغيلي المخطط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Monthly_Model!$M$5:$M$28</c:f>
              <c:numCache>
                <c:formatCode>\$#,##0;[Red]"-$"#,##0;\–</c:formatCode>
                <c:ptCount val="24"/>
                <c:pt idx="0">
                  <c:v>-4291.666666666667</c:v>
                </c:pt>
                <c:pt idx="1">
                  <c:v>-4083.3333333333335</c:v>
                </c:pt>
                <c:pt idx="2">
                  <c:v>-3875</c:v>
                </c:pt>
                <c:pt idx="3">
                  <c:v>-3666.6666666666665</c:v>
                </c:pt>
                <c:pt idx="4">
                  <c:v>-3458.333333333333</c:v>
                </c:pt>
                <c:pt idx="5">
                  <c:v>-3250</c:v>
                </c:pt>
                <c:pt idx="6">
                  <c:v>-3041.666666666667</c:v>
                </c:pt>
                <c:pt idx="7">
                  <c:v>-2833.333333333333</c:v>
                </c:pt>
                <c:pt idx="8">
                  <c:v>-2625</c:v>
                </c:pt>
                <c:pt idx="9">
                  <c:v>-2416.6666666666665</c:v>
                </c:pt>
                <c:pt idx="10">
                  <c:v>-2208.3333333333335</c:v>
                </c:pt>
                <c:pt idx="11">
                  <c:v>-2000</c:v>
                </c:pt>
                <c:pt idx="12">
                  <c:v>-1791.6666666666665</c:v>
                </c:pt>
                <c:pt idx="13">
                  <c:v>-1583.3333333333335</c:v>
                </c:pt>
                <c:pt idx="14">
                  <c:v>-1375</c:v>
                </c:pt>
                <c:pt idx="15">
                  <c:v>-1166.6666666666665</c:v>
                </c:pt>
                <c:pt idx="16">
                  <c:v>-958.33333333333348</c:v>
                </c:pt>
                <c:pt idx="17">
                  <c:v>-750</c:v>
                </c:pt>
                <c:pt idx="18">
                  <c:v>-541.66666666666652</c:v>
                </c:pt>
                <c:pt idx="19">
                  <c:v>-333.33333333333303</c:v>
                </c:pt>
                <c:pt idx="20">
                  <c:v>-125</c:v>
                </c:pt>
                <c:pt idx="21">
                  <c:v>83.33333333333303</c:v>
                </c:pt>
                <c:pt idx="22">
                  <c:v>291.66666666666697</c:v>
                </c:pt>
                <c:pt idx="23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70-4A13-A1AB-27A29EEDD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8502547"/>
        <c:axId val="21878293"/>
      </c:lineChart>
      <c:catAx>
        <c:axId val="98502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78293"/>
        <c:crosses val="autoZero"/>
        <c:auto val="1"/>
        <c:lblAlgn val="ctr"/>
        <c:lblOffset val="100"/>
        <c:noMultiLvlLbl val="0"/>
      </c:catAx>
      <c:valAx>
        <c:axId val="2187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0254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التدفق النقدي التراكمي وفترة الاسترداد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Monthly_Model!$N$4</c:f>
              <c:strCache>
                <c:ptCount val="1"/>
                <c:pt idx="0">
                  <c:v>التدفق التراكمي المخطط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Monthly_Model!$N$5:$N$28</c:f>
              <c:numCache>
                <c:formatCode>\$#,##0;[Red]"-$"#,##0;\–</c:formatCode>
                <c:ptCount val="24"/>
                <c:pt idx="0">
                  <c:v>-30791.666666666668</c:v>
                </c:pt>
                <c:pt idx="1">
                  <c:v>-34875</c:v>
                </c:pt>
                <c:pt idx="2">
                  <c:v>-38750</c:v>
                </c:pt>
                <c:pt idx="3">
                  <c:v>-42416.666666666664</c:v>
                </c:pt>
                <c:pt idx="4">
                  <c:v>-45875</c:v>
                </c:pt>
                <c:pt idx="5">
                  <c:v>-49125</c:v>
                </c:pt>
                <c:pt idx="6">
                  <c:v>-52166.666666666664</c:v>
                </c:pt>
                <c:pt idx="7">
                  <c:v>-55000</c:v>
                </c:pt>
                <c:pt idx="8">
                  <c:v>-57625</c:v>
                </c:pt>
                <c:pt idx="9">
                  <c:v>-60041.666666666664</c:v>
                </c:pt>
                <c:pt idx="10">
                  <c:v>-62250</c:v>
                </c:pt>
                <c:pt idx="11">
                  <c:v>-64250</c:v>
                </c:pt>
                <c:pt idx="12">
                  <c:v>-66041.666666666672</c:v>
                </c:pt>
                <c:pt idx="13">
                  <c:v>-67625</c:v>
                </c:pt>
                <c:pt idx="14">
                  <c:v>-69000</c:v>
                </c:pt>
                <c:pt idx="15">
                  <c:v>-70166.666666666672</c:v>
                </c:pt>
                <c:pt idx="16">
                  <c:v>-71125</c:v>
                </c:pt>
                <c:pt idx="17">
                  <c:v>-71875</c:v>
                </c:pt>
                <c:pt idx="18">
                  <c:v>-72416.666666666672</c:v>
                </c:pt>
                <c:pt idx="19">
                  <c:v>-72750</c:v>
                </c:pt>
                <c:pt idx="20">
                  <c:v>-72875</c:v>
                </c:pt>
                <c:pt idx="21">
                  <c:v>-72791.666666666672</c:v>
                </c:pt>
                <c:pt idx="22">
                  <c:v>-72500</c:v>
                </c:pt>
                <c:pt idx="23">
                  <c:v>-72000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DA-4D2A-BA14-4063DCE5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3706511"/>
        <c:axId val="87508795"/>
      </c:lineChart>
      <c:catAx>
        <c:axId val="337065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08795"/>
        <c:crosses val="autoZero"/>
        <c:auto val="1"/>
        <c:lblAlgn val="ctr"/>
        <c:lblOffset val="100"/>
        <c:noMultiLvlLbl val="0"/>
      </c:catAx>
      <c:valAx>
        <c:axId val="87508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0651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ar-YE"/>
              <a:t>الإيراد السنوي حسب السيناريو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Three_Year_Forecast!$C$116</c:f>
              <c:strCache>
                <c:ptCount val="1"/>
                <c:pt idx="0">
                  <c:v>الإيراد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Three_Year_Forecast!$B$117:$B$125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cat>
          <c:val>
            <c:numRef>
              <c:f>Three_Year_Forecast!$C$117:$C$125</c:f>
              <c:numCache>
                <c:formatCode>\$#,##0;[Red]\-\$#,##0;\–</c:formatCode>
                <c:ptCount val="9"/>
                <c:pt idx="0">
                  <c:v>7816.25</c:v>
                </c:pt>
                <c:pt idx="1">
                  <c:v>22246.25</c:v>
                </c:pt>
                <c:pt idx="2">
                  <c:v>36676.250000000007</c:v>
                </c:pt>
                <c:pt idx="3">
                  <c:v>20312.5</c:v>
                </c:pt>
                <c:pt idx="4">
                  <c:v>57812.5</c:v>
                </c:pt>
                <c:pt idx="5">
                  <c:v>95312.5</c:v>
                </c:pt>
                <c:pt idx="6">
                  <c:v>35685</c:v>
                </c:pt>
                <c:pt idx="7">
                  <c:v>101565</c:v>
                </c:pt>
                <c:pt idx="8">
                  <c:v>167445.00000000009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A-4511-8D7C-5A619FB9C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YE"/>
                  <a:t>السنة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YE"/>
                  <a:t>دولار</a:t>
                </a:r>
              </a:p>
            </c:rich>
          </c:tx>
          <c:overlay val="1"/>
        </c:title>
        <c:numFmt formatCode="\$#,##0;[Red]\-\$#,##0;\–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81360</xdr:rowOff>
    </xdr:from>
    <xdr:to>
      <xdr:col>5</xdr:col>
      <xdr:colOff>239040</xdr:colOff>
      <xdr:row>34</xdr:row>
      <xdr:rowOff>124560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11</xdr:col>
      <xdr:colOff>239040</xdr:colOff>
      <xdr:row>34</xdr:row>
      <xdr:rowOff>124560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EIS_Export" displayName="SAEIS_Export" ref="A1:X25" totalsRowShown="0">
  <autoFilter ref="A1:X25" xr:uid="{00000000-0009-0000-0100-000001000000}"/>
  <tableColumns count="24">
    <tableColumn id="1" xr3:uid="{00000000-0010-0000-0000-000001000000}" name="Month"/>
    <tableColumn id="2" xr3:uid="{00000000-0010-0000-0000-000002000000}" name="Quarter"/>
    <tableColumn id="3" xr3:uid="{00000000-0010-0000-0000-000003000000}" name="Basic Clients Plan"/>
    <tableColumn id="4" xr3:uid="{00000000-0010-0000-0000-000004000000}" name="Professional Clients Plan"/>
    <tableColumn id="5" xr3:uid="{00000000-0010-0000-0000-000005000000}" name="Enterprise Clients Plan"/>
    <tableColumn id="6" xr3:uid="{00000000-0010-0000-0000-000006000000}" name="Total Clients Plan"/>
    <tableColumn id="7" xr3:uid="{00000000-0010-0000-0000-000007000000}" name="Basic Revenue Plan"/>
    <tableColumn id="8" xr3:uid="{00000000-0010-0000-0000-000008000000}" name="Professional Revenue Plan"/>
    <tableColumn id="9" xr3:uid="{00000000-0010-0000-0000-000009000000}" name="Enterprise Revenue Plan"/>
    <tableColumn id="10" xr3:uid="{00000000-0010-0000-0000-00000A000000}" name="Total Revenue Plan"/>
    <tableColumn id="11" xr3:uid="{00000000-0010-0000-0000-00000B000000}" name="Variable Cost Plan"/>
    <tableColumn id="12" xr3:uid="{00000000-0010-0000-0000-00000C000000}" name="Fixed Opex Plan"/>
    <tableColumn id="13" xr3:uid="{00000000-0010-0000-0000-00000D000000}" name="Operating Profit Plan"/>
    <tableColumn id="14" xr3:uid="{00000000-0010-0000-0000-00000E000000}" name="Cumulative Project Cash Plan"/>
    <tableColumn id="15" xr3:uid="{00000000-0010-0000-0000-00000F000000}" name="Contribution Margin Plan"/>
    <tableColumn id="16" xr3:uid="{00000000-0010-0000-0000-000010000000}" name="Actual Revenue"/>
    <tableColumn id="17" xr3:uid="{00000000-0010-0000-0000-000011000000}" name="Actual Variable Cost"/>
    <tableColumn id="18" xr3:uid="{00000000-0010-0000-0000-000012000000}" name="Actual Fixed Opex"/>
    <tableColumn id="19" xr3:uid="{00000000-0010-0000-0000-000013000000}" name="Actual Operating Profit"/>
    <tableColumn id="20" xr3:uid="{00000000-0010-0000-0000-000014000000}" name="Revenue Variance"/>
    <tableColumn id="21" xr3:uid="{00000000-0010-0000-0000-000015000000}" name="Profit Variance"/>
    <tableColumn id="22" xr3:uid="{00000000-0010-0000-0000-000016000000}" name="Budget Status"/>
    <tableColumn id="23" xr3:uid="{00000000-0010-0000-0000-000017000000}" name="Target Error Detection"/>
    <tableColumn id="24" xr3:uid="{00000000-0010-0000-0000-000018000000}" name="Target Audit Time Reduc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eYearForecast" displayName="ThreeYearForecast" ref="A4:J112">
  <autoFilter ref="A4:J112" xr:uid="{00000000-0009-0000-0100-000002000000}"/>
  <tableColumns count="10">
    <tableColumn id="1" xr3:uid="{00000000-0010-0000-0100-000001000000}" name="السيناريو"/>
    <tableColumn id="2" xr3:uid="{00000000-0010-0000-0100-000002000000}" name="الشهر"/>
    <tableColumn id="3" xr3:uid="{00000000-0010-0000-0100-000003000000}" name="السنة"/>
    <tableColumn id="4" xr3:uid="{00000000-0010-0000-0100-000004000000}" name="العملاء الأساسيون"/>
    <tableColumn id="5" xr3:uid="{00000000-0010-0000-0100-000005000000}" name="العملاء الاحترافيون"/>
    <tableColumn id="6" xr3:uid="{00000000-0010-0000-0100-000006000000}" name="إجمالي العملاء"/>
    <tableColumn id="7" xr3:uid="{00000000-0010-0000-0100-000007000000}" name="الإيراد"/>
    <tableColumn id="8" xr3:uid="{00000000-0010-0000-0100-000008000000}" name="التكلفة المتغيرة"/>
    <tableColumn id="9" xr3:uid="{00000000-0010-0000-0100-000009000000}" name="الربح التشغيلي"/>
    <tableColumn id="10" xr3:uid="{00000000-0010-0000-0100-00000A000000}" name="التدفق النقدي التراكم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25" style="1" customWidth="1"/>
    <col min="2" max="2" width="115" style="1" customWidth="1"/>
  </cols>
  <sheetData>
    <row r="1" spans="1:8" ht="33.75" customHeight="1">
      <c r="A1" s="46" t="s">
        <v>0</v>
      </c>
      <c r="B1" s="45"/>
      <c r="C1" s="45"/>
      <c r="D1" s="45"/>
      <c r="E1" s="45"/>
      <c r="F1" s="45"/>
      <c r="G1" s="45"/>
      <c r="H1" s="45"/>
    </row>
    <row r="2" spans="1:8" ht="21.75" customHeight="1">
      <c r="A2" s="44" t="s">
        <v>1</v>
      </c>
      <c r="B2" s="45"/>
      <c r="C2" s="45"/>
      <c r="D2" s="45"/>
      <c r="E2" s="45"/>
      <c r="F2" s="45"/>
      <c r="G2" s="45"/>
      <c r="H2" s="45"/>
    </row>
    <row r="4" spans="1:8" ht="42" customHeight="1">
      <c r="A4" s="3" t="s">
        <v>2</v>
      </c>
      <c r="B4" s="4" t="s">
        <v>3</v>
      </c>
    </row>
    <row r="5" spans="1:8" ht="42" customHeight="1">
      <c r="A5" s="3" t="s">
        <v>4</v>
      </c>
      <c r="B5" s="4" t="s">
        <v>5</v>
      </c>
    </row>
    <row r="6" spans="1:8" ht="42" customHeight="1">
      <c r="A6" s="3" t="s">
        <v>6</v>
      </c>
      <c r="B6" s="4" t="s">
        <v>7</v>
      </c>
    </row>
    <row r="7" spans="1:8" ht="42" customHeight="1">
      <c r="A7" s="3" t="s">
        <v>8</v>
      </c>
      <c r="B7" s="4" t="s">
        <v>9</v>
      </c>
    </row>
    <row r="8" spans="1:8" ht="42" customHeight="1">
      <c r="A8" s="3" t="s">
        <v>10</v>
      </c>
      <c r="B8" s="4" t="s">
        <v>11</v>
      </c>
    </row>
    <row r="9" spans="1:8" ht="42" customHeight="1">
      <c r="A9" s="3" t="s">
        <v>12</v>
      </c>
      <c r="B9" s="4" t="s">
        <v>13</v>
      </c>
    </row>
    <row r="10" spans="1:8" ht="42" customHeight="1">
      <c r="A10" s="3" t="s">
        <v>14</v>
      </c>
      <c r="B10" s="4" t="s">
        <v>15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14" style="1" customWidth="1"/>
    <col min="2" max="2" width="34" style="1" customWidth="1"/>
    <col min="3" max="3" width="16" style="1" customWidth="1"/>
    <col min="4" max="4" width="15" style="1" customWidth="1"/>
    <col min="5" max="5" width="22" style="1" customWidth="1"/>
    <col min="6" max="6" width="65" style="1" customWidth="1"/>
  </cols>
  <sheetData>
    <row r="1" spans="1:8" ht="33.75" customHeight="1">
      <c r="A1" s="46" t="s">
        <v>16</v>
      </c>
      <c r="B1" s="45"/>
      <c r="C1" s="45"/>
      <c r="D1" s="45"/>
      <c r="E1" s="45"/>
      <c r="F1" s="45"/>
      <c r="G1" s="45"/>
      <c r="H1" s="45"/>
    </row>
    <row r="2" spans="1:8" ht="21.75" customHeight="1">
      <c r="A2" s="44" t="s">
        <v>17</v>
      </c>
      <c r="B2" s="45"/>
      <c r="C2" s="45"/>
      <c r="D2" s="45"/>
      <c r="E2" s="45"/>
      <c r="F2" s="45"/>
      <c r="G2" s="45"/>
      <c r="H2" s="45"/>
    </row>
    <row r="4" spans="1:8" ht="31.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spans="1:8" ht="24.75" customHeight="1">
      <c r="A5" s="6" t="s">
        <v>24</v>
      </c>
      <c r="B5" s="6" t="s">
        <v>25</v>
      </c>
      <c r="C5" s="7">
        <v>26500</v>
      </c>
      <c r="D5" s="6" t="s">
        <v>26</v>
      </c>
      <c r="E5" s="6" t="s">
        <v>27</v>
      </c>
      <c r="F5" s="6" t="s">
        <v>28</v>
      </c>
    </row>
    <row r="6" spans="1:8" ht="24.75" customHeight="1">
      <c r="A6" s="6" t="s">
        <v>29</v>
      </c>
      <c r="B6" s="6" t="s">
        <v>30</v>
      </c>
      <c r="C6" s="7">
        <v>2500</v>
      </c>
      <c r="D6" s="6" t="s">
        <v>26</v>
      </c>
      <c r="E6" s="6" t="s">
        <v>31</v>
      </c>
      <c r="F6" s="6" t="s">
        <v>32</v>
      </c>
    </row>
    <row r="7" spans="1:8" ht="24.75" customHeight="1">
      <c r="A7" s="6" t="s">
        <v>29</v>
      </c>
      <c r="B7" s="6" t="s">
        <v>33</v>
      </c>
      <c r="C7" s="7">
        <v>7500</v>
      </c>
      <c r="D7" s="6" t="s">
        <v>26</v>
      </c>
      <c r="E7" s="6" t="s">
        <v>31</v>
      </c>
      <c r="F7" s="6" t="s">
        <v>34</v>
      </c>
    </row>
    <row r="8" spans="1:8" ht="24.75" customHeight="1">
      <c r="A8" s="6" t="s">
        <v>29</v>
      </c>
      <c r="B8" s="6" t="s">
        <v>35</v>
      </c>
      <c r="C8" s="7">
        <v>0</v>
      </c>
      <c r="D8" s="6" t="s">
        <v>26</v>
      </c>
      <c r="E8" s="6" t="s">
        <v>36</v>
      </c>
      <c r="F8" s="6" t="s">
        <v>37</v>
      </c>
    </row>
    <row r="9" spans="1:8" ht="24.75" customHeight="1">
      <c r="A9" s="6" t="s">
        <v>38</v>
      </c>
      <c r="B9" s="6" t="s">
        <v>39</v>
      </c>
      <c r="C9" s="8">
        <v>0</v>
      </c>
      <c r="D9" s="6" t="s">
        <v>40</v>
      </c>
      <c r="E9" s="6" t="s">
        <v>41</v>
      </c>
      <c r="F9" s="6" t="s">
        <v>42</v>
      </c>
    </row>
    <row r="10" spans="1:8" ht="24.75" customHeight="1">
      <c r="A10" s="6" t="s">
        <v>38</v>
      </c>
      <c r="B10" s="6" t="s">
        <v>43</v>
      </c>
      <c r="C10" s="8">
        <v>0</v>
      </c>
      <c r="D10" s="6" t="s">
        <v>40</v>
      </c>
      <c r="E10" s="6" t="s">
        <v>41</v>
      </c>
      <c r="F10" s="6" t="s">
        <v>42</v>
      </c>
    </row>
    <row r="11" spans="1:8" ht="24.75" customHeight="1">
      <c r="A11" s="6" t="s">
        <v>38</v>
      </c>
      <c r="B11" s="6" t="s">
        <v>44</v>
      </c>
      <c r="C11" s="8">
        <v>0</v>
      </c>
      <c r="D11" s="6" t="s">
        <v>40</v>
      </c>
      <c r="E11" s="6" t="s">
        <v>41</v>
      </c>
      <c r="F11" s="6" t="s">
        <v>45</v>
      </c>
    </row>
    <row r="12" spans="1:8" ht="24.75" customHeight="1">
      <c r="A12" s="6" t="s">
        <v>46</v>
      </c>
      <c r="B12" s="6" t="s">
        <v>47</v>
      </c>
      <c r="C12" s="8">
        <v>0.5</v>
      </c>
      <c r="D12" s="6" t="s">
        <v>48</v>
      </c>
      <c r="E12" s="6" t="s">
        <v>41</v>
      </c>
      <c r="F12" s="6" t="s">
        <v>49</v>
      </c>
    </row>
    <row r="13" spans="1:8" ht="24.75" customHeight="1">
      <c r="A13" s="6" t="s">
        <v>46</v>
      </c>
      <c r="B13" s="6" t="s">
        <v>50</v>
      </c>
      <c r="C13" s="8">
        <v>0.25</v>
      </c>
      <c r="D13" s="6" t="s">
        <v>48</v>
      </c>
      <c r="E13" s="6" t="s">
        <v>41</v>
      </c>
      <c r="F13" s="6" t="s">
        <v>49</v>
      </c>
    </row>
    <row r="14" spans="1:8" ht="24.75" customHeight="1">
      <c r="A14" s="6" t="s">
        <v>46</v>
      </c>
      <c r="B14" s="6" t="s">
        <v>51</v>
      </c>
      <c r="C14" s="8">
        <v>0</v>
      </c>
      <c r="D14" s="6" t="s">
        <v>48</v>
      </c>
      <c r="E14" s="6" t="s">
        <v>41</v>
      </c>
      <c r="F14" s="6" t="s">
        <v>52</v>
      </c>
    </row>
    <row r="15" spans="1:8" ht="24.75" customHeight="1">
      <c r="A15" s="6" t="s">
        <v>53</v>
      </c>
      <c r="B15" s="6" t="s">
        <v>54</v>
      </c>
      <c r="C15" s="9">
        <v>0</v>
      </c>
      <c r="D15" s="10" t="s">
        <v>55</v>
      </c>
      <c r="E15" s="6" t="s">
        <v>41</v>
      </c>
      <c r="F15" s="6" t="s">
        <v>56</v>
      </c>
    </row>
    <row r="16" spans="1:8" ht="24.75" customHeight="1">
      <c r="A16" s="6" t="s">
        <v>53</v>
      </c>
      <c r="B16" s="6" t="s">
        <v>57</v>
      </c>
      <c r="C16" s="9">
        <v>0.2</v>
      </c>
      <c r="D16" s="10" t="s">
        <v>55</v>
      </c>
      <c r="E16" s="6" t="s">
        <v>41</v>
      </c>
      <c r="F16" s="6" t="s">
        <v>58</v>
      </c>
    </row>
    <row r="17" spans="1:6" ht="24.75" customHeight="1">
      <c r="A17" s="6" t="s">
        <v>53</v>
      </c>
      <c r="B17" s="6" t="s">
        <v>59</v>
      </c>
      <c r="C17" s="7">
        <v>4500</v>
      </c>
      <c r="D17" s="6" t="s">
        <v>60</v>
      </c>
      <c r="E17" s="6" t="s">
        <v>41</v>
      </c>
      <c r="F17" s="6" t="s">
        <v>61</v>
      </c>
    </row>
    <row r="18" spans="1:6" ht="24.75" customHeight="1">
      <c r="A18" s="6" t="s">
        <v>62</v>
      </c>
      <c r="B18" s="6" t="s">
        <v>63</v>
      </c>
      <c r="C18" s="8">
        <v>24</v>
      </c>
      <c r="D18" s="6" t="s">
        <v>64</v>
      </c>
      <c r="E18" s="6" t="s">
        <v>65</v>
      </c>
      <c r="F18" s="6" t="s">
        <v>66</v>
      </c>
    </row>
    <row r="19" spans="1:6" ht="24.75" customHeight="1">
      <c r="A19" s="6" t="s">
        <v>67</v>
      </c>
      <c r="B19" s="6" t="s">
        <v>68</v>
      </c>
      <c r="C19" s="9">
        <v>0.9</v>
      </c>
      <c r="D19" s="10" t="s">
        <v>55</v>
      </c>
      <c r="E19" s="6" t="s">
        <v>69</v>
      </c>
      <c r="F19" s="6" t="s">
        <v>70</v>
      </c>
    </row>
    <row r="20" spans="1:6" ht="24.75" customHeight="1">
      <c r="A20" s="6" t="s">
        <v>67</v>
      </c>
      <c r="B20" s="6" t="s">
        <v>71</v>
      </c>
      <c r="C20" s="9">
        <v>0.6</v>
      </c>
      <c r="D20" s="10" t="s">
        <v>55</v>
      </c>
      <c r="E20" s="6" t="s">
        <v>69</v>
      </c>
      <c r="F20" s="6" t="s">
        <v>70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38" style="1" customWidth="1"/>
    <col min="2" max="2" width="18" style="1" customWidth="1"/>
    <col min="3" max="4" width="16" style="1" customWidth="1"/>
    <col min="5" max="5" width="14" style="1" customWidth="1"/>
    <col min="6" max="6" width="18" style="1" customWidth="1"/>
    <col min="7" max="7" width="40" style="1" customWidth="1"/>
  </cols>
  <sheetData>
    <row r="1" spans="1:8" ht="33.75" customHeight="1">
      <c r="A1" s="46" t="s">
        <v>72</v>
      </c>
      <c r="B1" s="45"/>
      <c r="C1" s="45"/>
      <c r="D1" s="45"/>
      <c r="E1" s="45"/>
      <c r="F1" s="45"/>
      <c r="G1" s="45"/>
      <c r="H1" s="45"/>
    </row>
    <row r="2" spans="1:8" ht="21.75" customHeight="1">
      <c r="A2" s="47" t="s">
        <v>73</v>
      </c>
      <c r="B2" s="45"/>
      <c r="C2" s="45"/>
      <c r="D2" s="45"/>
      <c r="E2" s="45"/>
      <c r="F2" s="45"/>
      <c r="G2" s="45"/>
      <c r="H2" s="45"/>
    </row>
    <row r="4" spans="1:8" ht="31.5" customHeight="1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22</v>
      </c>
      <c r="G4" s="5" t="s">
        <v>79</v>
      </c>
    </row>
    <row r="5" spans="1:8" ht="27.75" customHeight="1">
      <c r="A5" s="6" t="s">
        <v>80</v>
      </c>
      <c r="B5" s="11">
        <v>11925</v>
      </c>
      <c r="C5" s="7"/>
      <c r="D5" s="11" t="str">
        <f>IF(C5="","",C5-B5)</f>
        <v/>
      </c>
      <c r="E5" s="12" t="str">
        <f>IF(C5="","",IF(B5=0,"",D5/B5))</f>
        <v/>
      </c>
      <c r="F5" s="10" t="str">
        <f>IF(C5="","أدخل الفعلي",IF(D5&gt;0,"تجاوز",IF(D5&lt;0,"أقل من الميزانية","مطابق")))</f>
        <v>أدخل الفعلي</v>
      </c>
      <c r="G5" s="10" t="s">
        <v>81</v>
      </c>
    </row>
    <row r="6" spans="1:8" ht="27.75" customHeight="1">
      <c r="A6" s="6" t="s">
        <v>82</v>
      </c>
      <c r="B6" s="11">
        <v>6625</v>
      </c>
      <c r="C6" s="7"/>
      <c r="D6" s="11" t="str">
        <f>IF(C6="","",C6-B6)</f>
        <v/>
      </c>
      <c r="E6" s="12" t="str">
        <f>IF(C6="","",IF(B6=0,"",D6/B6))</f>
        <v/>
      </c>
      <c r="F6" s="10" t="str">
        <f>IF(C6="","أدخل الفعلي",IF(D6&gt;0,"تجاوز",IF(D6&lt;0,"أقل من الميزانية","مطابق")))</f>
        <v>أدخل الفعلي</v>
      </c>
      <c r="G6" s="6" t="s">
        <v>83</v>
      </c>
    </row>
    <row r="7" spans="1:8" ht="27.75" customHeight="1">
      <c r="A7" s="6" t="s">
        <v>84</v>
      </c>
      <c r="B7" s="11">
        <v>5300</v>
      </c>
      <c r="C7" s="7"/>
      <c r="D7" s="11" t="str">
        <f>IF(C7="","",C7-B7)</f>
        <v/>
      </c>
      <c r="E7" s="12" t="str">
        <f>IF(C7="","",IF(B7=0,"",D7/B7))</f>
        <v/>
      </c>
      <c r="F7" s="10" t="str">
        <f>IF(C7="","أدخل الفعلي",IF(D7&gt;0,"تجاوز",IF(D7&lt;0,"أقل من الميزانية","مطابق")))</f>
        <v>أدخل الفعلي</v>
      </c>
      <c r="G7" s="6" t="s">
        <v>85</v>
      </c>
    </row>
    <row r="8" spans="1:8" ht="27.75" customHeight="1">
      <c r="A8" s="6" t="s">
        <v>86</v>
      </c>
      <c r="B8" s="11">
        <v>2650</v>
      </c>
      <c r="C8" s="7"/>
      <c r="D8" s="11" t="str">
        <f>IF(C8="","",C8-B8)</f>
        <v/>
      </c>
      <c r="E8" s="12" t="str">
        <f>IF(C8="","",IF(B8=0,"",D8/B8))</f>
        <v/>
      </c>
      <c r="F8" s="10" t="str">
        <f>IF(C8="","أدخل الفعلي",IF(D8&gt;0,"تجاوز",IF(D8&lt;0,"أقل من الميزانية","مطابق")))</f>
        <v>أدخل الفعلي</v>
      </c>
      <c r="G8" s="6" t="s">
        <v>87</v>
      </c>
    </row>
    <row r="9" spans="1:8" ht="15" customHeight="1">
      <c r="A9" s="10"/>
      <c r="B9" s="10"/>
      <c r="C9" s="10"/>
      <c r="D9" s="10"/>
      <c r="E9" s="10"/>
      <c r="F9" s="10"/>
      <c r="G9" s="10"/>
    </row>
    <row r="10" spans="1:8" ht="16.350000000000001" customHeight="1">
      <c r="A10" s="13" t="s">
        <v>88</v>
      </c>
      <c r="B10" s="14">
        <f>SUM(B5:B8)</f>
        <v>26500</v>
      </c>
      <c r="C10" s="14" t="str">
        <f>IF(COUNTA(C5:C8)=0,"",SUM(C5:C8))</f>
        <v/>
      </c>
      <c r="D10" s="14" t="str">
        <f>IF(C10="","",C10-B10)</f>
        <v/>
      </c>
      <c r="E10" s="15" t="str">
        <f>IF(C10="","",D10/B10)</f>
        <v/>
      </c>
      <c r="F10" s="13" t="str">
        <f>IF(C10="","أدخل الفعلي",IF(D10&gt;0,"تجاوز",IF(D10&lt;0,"أقل من الميزانية","مطابق")))</f>
        <v>أدخل الفعلي</v>
      </c>
      <c r="G10" s="10"/>
    </row>
  </sheetData>
  <mergeCells count="2">
    <mergeCell ref="A2:H2"/>
    <mergeCell ref="A1:H1"/>
  </mergeCells>
  <conditionalFormatting sqref="D5:D8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tabSelected="1" zoomScaleNormal="100" workbookViewId="0">
      <pane ySplit="4" topLeftCell="A5" activePane="bottomLeft" state="frozen"/>
      <selection pane="bottomLeft" activeCell="C22" sqref="C22"/>
    </sheetView>
  </sheetViews>
  <sheetFormatPr defaultColWidth="8.5703125" defaultRowHeight="15"/>
  <cols>
    <col min="1" max="1" width="12" style="1" customWidth="1"/>
    <col min="2" max="2" width="18" style="1" customWidth="1"/>
    <col min="3" max="4" width="24" style="1" customWidth="1"/>
    <col min="5" max="5" width="20" style="1" customWidth="1"/>
    <col min="6" max="6" width="42" style="1" customWidth="1"/>
  </cols>
  <sheetData>
    <row r="1" spans="1:8" ht="33.75" customHeight="1">
      <c r="A1" s="46" t="s">
        <v>89</v>
      </c>
      <c r="B1" s="45"/>
      <c r="C1" s="45"/>
      <c r="D1" s="45"/>
      <c r="E1" s="45"/>
      <c r="F1" s="45"/>
      <c r="G1" s="45"/>
      <c r="H1" s="45"/>
    </row>
    <row r="2" spans="1:8" ht="21.75" customHeight="1">
      <c r="A2" s="47" t="s">
        <v>90</v>
      </c>
      <c r="B2" s="45"/>
      <c r="C2" s="45"/>
      <c r="D2" s="45"/>
      <c r="E2" s="45"/>
      <c r="F2" s="45"/>
      <c r="G2" s="45"/>
      <c r="H2" s="45"/>
    </row>
    <row r="4" spans="1:8" ht="31.5" customHeight="1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</row>
    <row r="5" spans="1:8" ht="24" customHeight="1">
      <c r="A5" s="10">
        <v>1</v>
      </c>
      <c r="B5" s="16"/>
      <c r="C5" s="16"/>
      <c r="D5" s="16"/>
      <c r="E5" s="16"/>
      <c r="F5" s="6" t="s">
        <v>97</v>
      </c>
    </row>
    <row r="6" spans="1:8" ht="24" customHeight="1">
      <c r="A6" s="10">
        <v>2</v>
      </c>
      <c r="B6" s="16"/>
      <c r="C6" s="16"/>
      <c r="D6" s="16"/>
      <c r="E6" s="16"/>
      <c r="F6" s="6" t="s">
        <v>97</v>
      </c>
    </row>
    <row r="7" spans="1:8" ht="24" customHeight="1">
      <c r="A7" s="10">
        <v>3</v>
      </c>
      <c r="B7" s="16"/>
      <c r="C7" s="16"/>
      <c r="D7" s="16"/>
      <c r="E7" s="16"/>
      <c r="F7" s="6" t="s">
        <v>97</v>
      </c>
    </row>
    <row r="8" spans="1:8" ht="24" customHeight="1">
      <c r="A8" s="10">
        <v>4</v>
      </c>
      <c r="B8" s="16"/>
      <c r="C8" s="16"/>
      <c r="D8" s="16"/>
      <c r="E8" s="16"/>
      <c r="F8" s="6" t="s">
        <v>97</v>
      </c>
    </row>
    <row r="9" spans="1:8" ht="24" customHeight="1">
      <c r="A9" s="10">
        <v>5</v>
      </c>
      <c r="B9" s="16"/>
      <c r="C9" s="16"/>
      <c r="D9" s="16"/>
      <c r="E9" s="16"/>
      <c r="F9" s="6" t="s">
        <v>97</v>
      </c>
    </row>
    <row r="10" spans="1:8" ht="24" customHeight="1">
      <c r="A10" s="10">
        <v>6</v>
      </c>
      <c r="B10" s="16"/>
      <c r="C10" s="16"/>
      <c r="D10" s="16"/>
      <c r="E10" s="16"/>
      <c r="F10" s="6" t="s">
        <v>97</v>
      </c>
    </row>
    <row r="11" spans="1:8" ht="24" customHeight="1">
      <c r="A11" s="10">
        <v>7</v>
      </c>
      <c r="B11" s="16"/>
      <c r="C11" s="16"/>
      <c r="D11" s="16"/>
      <c r="E11" s="16"/>
      <c r="F11" s="6" t="s">
        <v>97</v>
      </c>
    </row>
    <row r="12" spans="1:8" ht="24" customHeight="1">
      <c r="A12" s="10">
        <v>8</v>
      </c>
      <c r="B12" s="16"/>
      <c r="C12" s="16"/>
      <c r="D12" s="16"/>
      <c r="E12" s="16"/>
      <c r="F12" s="6" t="s">
        <v>97</v>
      </c>
    </row>
    <row r="13" spans="1:8" ht="24" customHeight="1">
      <c r="A13" s="10">
        <v>9</v>
      </c>
      <c r="B13" s="16"/>
      <c r="C13" s="16"/>
      <c r="D13" s="16"/>
      <c r="E13" s="16"/>
      <c r="F13" s="6" t="s">
        <v>97</v>
      </c>
    </row>
    <row r="14" spans="1:8" ht="24" customHeight="1">
      <c r="A14" s="10">
        <v>10</v>
      </c>
      <c r="B14" s="16"/>
      <c r="C14" s="16"/>
      <c r="D14" s="16"/>
      <c r="E14" s="16"/>
      <c r="F14" s="6" t="s">
        <v>97</v>
      </c>
    </row>
    <row r="15" spans="1:8" ht="24" customHeight="1">
      <c r="A15" s="10">
        <v>11</v>
      </c>
      <c r="B15" s="16"/>
      <c r="C15" s="16"/>
      <c r="D15" s="16"/>
      <c r="E15" s="16"/>
      <c r="F15" s="6" t="s">
        <v>97</v>
      </c>
    </row>
    <row r="16" spans="1:8" ht="24" customHeight="1">
      <c r="A16" s="10">
        <v>12</v>
      </c>
      <c r="B16" s="16"/>
      <c r="C16" s="16"/>
      <c r="D16" s="16"/>
      <c r="E16" s="16"/>
      <c r="F16" s="6" t="s">
        <v>97</v>
      </c>
    </row>
    <row r="17" spans="1:6" ht="24" customHeight="1">
      <c r="A17" s="10">
        <v>13</v>
      </c>
      <c r="B17" s="16"/>
      <c r="C17" s="16"/>
      <c r="D17" s="16"/>
      <c r="E17" s="16"/>
      <c r="F17" s="6" t="s">
        <v>97</v>
      </c>
    </row>
    <row r="18" spans="1:6" ht="24" customHeight="1">
      <c r="A18" s="10">
        <v>14</v>
      </c>
      <c r="B18" s="16"/>
      <c r="C18" s="16"/>
      <c r="D18" s="16"/>
      <c r="E18" s="16"/>
      <c r="F18" s="6" t="s">
        <v>97</v>
      </c>
    </row>
    <row r="19" spans="1:6" ht="24" customHeight="1">
      <c r="A19" s="10">
        <v>15</v>
      </c>
      <c r="B19" s="16"/>
      <c r="C19" s="16"/>
      <c r="D19" s="16"/>
      <c r="E19" s="16"/>
      <c r="F19" s="6" t="s">
        <v>97</v>
      </c>
    </row>
    <row r="20" spans="1:6" ht="24" customHeight="1">
      <c r="A20" s="10">
        <v>16</v>
      </c>
      <c r="B20" s="16"/>
      <c r="C20" s="16"/>
      <c r="D20" s="16"/>
      <c r="E20" s="16"/>
      <c r="F20" s="6" t="s">
        <v>97</v>
      </c>
    </row>
    <row r="21" spans="1:6" ht="24" customHeight="1">
      <c r="A21" s="10">
        <v>17</v>
      </c>
      <c r="B21" s="16"/>
      <c r="C21" s="16"/>
      <c r="D21" s="16"/>
      <c r="E21" s="16"/>
      <c r="F21" s="6" t="s">
        <v>97</v>
      </c>
    </row>
    <row r="22" spans="1:6" ht="24" customHeight="1">
      <c r="A22" s="10">
        <v>18</v>
      </c>
      <c r="B22" s="16"/>
      <c r="C22" s="16"/>
      <c r="D22" s="16"/>
      <c r="E22" s="16"/>
      <c r="F22" s="6" t="s">
        <v>97</v>
      </c>
    </row>
    <row r="23" spans="1:6" ht="24" customHeight="1">
      <c r="A23" s="10">
        <v>19</v>
      </c>
      <c r="B23" s="16"/>
      <c r="C23" s="16"/>
      <c r="D23" s="16"/>
      <c r="E23" s="16"/>
      <c r="F23" s="6" t="s">
        <v>97</v>
      </c>
    </row>
    <row r="24" spans="1:6" ht="24" customHeight="1">
      <c r="A24" s="10">
        <v>20</v>
      </c>
      <c r="B24" s="16"/>
      <c r="C24" s="16"/>
      <c r="D24" s="16"/>
      <c r="E24" s="16"/>
      <c r="F24" s="6" t="s">
        <v>97</v>
      </c>
    </row>
    <row r="25" spans="1:6" ht="24" customHeight="1">
      <c r="A25" s="10">
        <v>21</v>
      </c>
      <c r="B25" s="16"/>
      <c r="C25" s="16"/>
      <c r="D25" s="16"/>
      <c r="E25" s="16"/>
      <c r="F25" s="6" t="s">
        <v>97</v>
      </c>
    </row>
    <row r="26" spans="1:6" ht="24" customHeight="1">
      <c r="A26" s="10">
        <v>22</v>
      </c>
      <c r="B26" s="16"/>
      <c r="C26" s="16"/>
      <c r="D26" s="16"/>
      <c r="E26" s="16"/>
      <c r="F26" s="6" t="s">
        <v>97</v>
      </c>
    </row>
    <row r="27" spans="1:6" ht="24" customHeight="1">
      <c r="A27" s="10">
        <v>23</v>
      </c>
      <c r="B27" s="16"/>
      <c r="C27" s="16"/>
      <c r="D27" s="16"/>
      <c r="E27" s="16"/>
      <c r="F27" s="6" t="s">
        <v>97</v>
      </c>
    </row>
    <row r="28" spans="1:6" ht="24" customHeight="1">
      <c r="A28" s="10">
        <v>24</v>
      </c>
      <c r="B28" s="16"/>
      <c r="C28" s="16"/>
      <c r="D28" s="16"/>
      <c r="E28" s="16"/>
      <c r="F28" s="6" t="s">
        <v>97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9" style="1" customWidth="1"/>
    <col min="3" max="20" width="16" style="1" customWidth="1"/>
    <col min="21" max="21" width="13" style="1" hidden="1" customWidth="1"/>
  </cols>
  <sheetData>
    <row r="1" spans="1:21" ht="33.75" customHeight="1">
      <c r="A1" s="46" t="s">
        <v>98</v>
      </c>
      <c r="B1" s="45"/>
      <c r="C1" s="45"/>
      <c r="D1" s="45"/>
      <c r="E1" s="45"/>
      <c r="F1" s="45"/>
      <c r="G1" s="45"/>
      <c r="H1" s="45"/>
    </row>
    <row r="2" spans="1:21" ht="21.75" customHeight="1">
      <c r="A2" s="47" t="s">
        <v>99</v>
      </c>
      <c r="B2" s="45"/>
      <c r="C2" s="45"/>
      <c r="D2" s="45"/>
      <c r="E2" s="45"/>
      <c r="F2" s="45"/>
      <c r="G2" s="45"/>
      <c r="H2" s="45"/>
    </row>
    <row r="4" spans="1:21" ht="31.5" customHeight="1">
      <c r="A4" s="5" t="s">
        <v>91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 t="s">
        <v>111</v>
      </c>
      <c r="N4" s="5" t="s">
        <v>112</v>
      </c>
      <c r="O4" s="5" t="s">
        <v>113</v>
      </c>
      <c r="P4" s="5" t="s">
        <v>92</v>
      </c>
      <c r="Q4" s="5" t="s">
        <v>114</v>
      </c>
      <c r="R4" s="5" t="s">
        <v>115</v>
      </c>
      <c r="S4" s="5" t="s">
        <v>116</v>
      </c>
      <c r="T4" s="5" t="s">
        <v>117</v>
      </c>
      <c r="U4" s="17" t="s">
        <v>118</v>
      </c>
    </row>
    <row r="5" spans="1:21" ht="24" customHeight="1">
      <c r="A5" s="10">
        <v>1</v>
      </c>
      <c r="B5" s="10" t="str">
        <f t="shared" ref="B5:B28" si="0">"Q"&amp;ROUNDUP(A5/3,0)</f>
        <v>Q1</v>
      </c>
      <c r="C5" s="18">
        <f>Inputs!$C$9*(1-Inputs!$C$15)+Inputs!$C$12</f>
        <v>0.5</v>
      </c>
      <c r="D5" s="18">
        <f>Inputs!$C$10*(1-Inputs!$C$15)+Inputs!$C$13</f>
        <v>0.25</v>
      </c>
      <c r="E5" s="18">
        <f>Inputs!$C$11*(1-Inputs!$C$15)+Inputs!$C$14</f>
        <v>0</v>
      </c>
      <c r="F5" s="18">
        <f t="shared" ref="F5:F28" si="1">SUM(C5:E5)</f>
        <v>0.75</v>
      </c>
      <c r="G5" s="11">
        <f>C5*Inputs!$C$6/12</f>
        <v>104.16666666666667</v>
      </c>
      <c r="H5" s="11">
        <f>D5*Inputs!$C$7/12</f>
        <v>156.25</v>
      </c>
      <c r="I5" s="11">
        <f>E5*Inputs!$C$8/12</f>
        <v>0</v>
      </c>
      <c r="J5" s="11">
        <f t="shared" ref="J5:J28" si="2">SUM(G5:I5)</f>
        <v>260.41666666666669</v>
      </c>
      <c r="K5" s="11">
        <f>J5*Inputs!$C$16</f>
        <v>52.083333333333343</v>
      </c>
      <c r="L5" s="11">
        <f>Inputs!$C$17</f>
        <v>4500</v>
      </c>
      <c r="M5" s="11">
        <f t="shared" ref="M5:M28" si="3">J5-K5-L5</f>
        <v>-4291.666666666667</v>
      </c>
      <c r="N5" s="11">
        <f>-Inputs!$C$5+M5</f>
        <v>-30791.666666666668</v>
      </c>
      <c r="O5" s="12">
        <f t="shared" ref="O5:O28" si="4">IF(J5=0,"",(J5-K5)/J5)</f>
        <v>0.79999999999999993</v>
      </c>
      <c r="P5" s="11" t="str">
        <f>IF(Actuals_Monthly!B5="","",Actuals_Monthly!B5)</f>
        <v/>
      </c>
      <c r="Q5" s="11" t="str">
        <f>IF(OR(Actuals_Monthly!B5="",Actuals_Monthly!C5="",Actuals_Monthly!D5=""),"",Actuals_Monthly!B5-Actuals_Monthly!C5-Actuals_Monthly!D5)</f>
        <v/>
      </c>
      <c r="R5" s="11" t="str">
        <f t="shared" ref="R5:R28" si="5">IF(P5="","",P5-J5)</f>
        <v/>
      </c>
      <c r="S5" s="11" t="str">
        <f t="shared" ref="S5:S28" si="6">IF(Q5="","",Q5-M5)</f>
        <v/>
      </c>
      <c r="T5" s="10" t="str">
        <f t="shared" ref="T5:T28" si="7">IF(P5="","أدخل الفعلي",IF(R5&gt;=0,"فوق الخطة","دون الخطة"))</f>
        <v>أدخل الفعلي</v>
      </c>
      <c r="U5" s="17">
        <f t="shared" ref="U5:U28" si="8">IF(N5&gt;=0,1,0)</f>
        <v>0</v>
      </c>
    </row>
    <row r="6" spans="1:21" ht="24" customHeight="1">
      <c r="A6" s="10">
        <v>2</v>
      </c>
      <c r="B6" s="10" t="str">
        <f t="shared" si="0"/>
        <v>Q1</v>
      </c>
      <c r="C6" s="18">
        <f>C5*(1-Inputs!$C$15)+Inputs!$C$12</f>
        <v>1</v>
      </c>
      <c r="D6" s="18">
        <f>D5*(1-Inputs!$C$15)+Inputs!$C$13</f>
        <v>0.5</v>
      </c>
      <c r="E6" s="18">
        <f>E5*(1-Inputs!$C$15)+Inputs!$C$14</f>
        <v>0</v>
      </c>
      <c r="F6" s="18">
        <f t="shared" si="1"/>
        <v>1.5</v>
      </c>
      <c r="G6" s="11">
        <f>C6*Inputs!$C$6/12</f>
        <v>208.33333333333334</v>
      </c>
      <c r="H6" s="11">
        <f>D6*Inputs!$C$7/12</f>
        <v>312.5</v>
      </c>
      <c r="I6" s="11">
        <f>E6*Inputs!$C$8/12</f>
        <v>0</v>
      </c>
      <c r="J6" s="11">
        <f t="shared" si="2"/>
        <v>520.83333333333337</v>
      </c>
      <c r="K6" s="11">
        <f>J6*Inputs!$C$16</f>
        <v>104.16666666666669</v>
      </c>
      <c r="L6" s="11">
        <f>Inputs!$C$17</f>
        <v>4500</v>
      </c>
      <c r="M6" s="11">
        <f t="shared" si="3"/>
        <v>-4083.3333333333335</v>
      </c>
      <c r="N6" s="11">
        <f t="shared" ref="N6:N28" si="9">N5+M6</f>
        <v>-34875</v>
      </c>
      <c r="O6" s="12">
        <f t="shared" si="4"/>
        <v>0.79999999999999993</v>
      </c>
      <c r="P6" s="11" t="str">
        <f>IF(Actuals_Monthly!B6="","",Actuals_Monthly!B6)</f>
        <v/>
      </c>
      <c r="Q6" s="11" t="str">
        <f>IF(OR(Actuals_Monthly!B6="",Actuals_Monthly!C6="",Actuals_Monthly!D6=""),"",Actuals_Monthly!B6-Actuals_Monthly!C6-Actuals_Monthly!D6)</f>
        <v/>
      </c>
      <c r="R6" s="11" t="str">
        <f t="shared" si="5"/>
        <v/>
      </c>
      <c r="S6" s="11" t="str">
        <f t="shared" si="6"/>
        <v/>
      </c>
      <c r="T6" s="10" t="str">
        <f t="shared" si="7"/>
        <v>أدخل الفعلي</v>
      </c>
      <c r="U6" s="17">
        <f t="shared" si="8"/>
        <v>0</v>
      </c>
    </row>
    <row r="7" spans="1:21" ht="24" customHeight="1">
      <c r="A7" s="10">
        <v>3</v>
      </c>
      <c r="B7" s="10" t="str">
        <f t="shared" si="0"/>
        <v>Q1</v>
      </c>
      <c r="C7" s="18">
        <f>C6*(1-Inputs!$C$15)+Inputs!$C$12</f>
        <v>1.5</v>
      </c>
      <c r="D7" s="18">
        <f>D6*(1-Inputs!$C$15)+Inputs!$C$13</f>
        <v>0.75</v>
      </c>
      <c r="E7" s="18">
        <f>E6*(1-Inputs!$C$15)+Inputs!$C$14</f>
        <v>0</v>
      </c>
      <c r="F7" s="18">
        <f t="shared" si="1"/>
        <v>2.25</v>
      </c>
      <c r="G7" s="11">
        <f>C7*Inputs!$C$6/12</f>
        <v>312.5</v>
      </c>
      <c r="H7" s="11">
        <f>D7*Inputs!$C$7/12</f>
        <v>468.75</v>
      </c>
      <c r="I7" s="11">
        <f>E7*Inputs!$C$8/12</f>
        <v>0</v>
      </c>
      <c r="J7" s="11">
        <f t="shared" si="2"/>
        <v>781.25</v>
      </c>
      <c r="K7" s="11">
        <f>J7*Inputs!$C$16</f>
        <v>156.25</v>
      </c>
      <c r="L7" s="11">
        <f>Inputs!$C$17</f>
        <v>4500</v>
      </c>
      <c r="M7" s="11">
        <f t="shared" si="3"/>
        <v>-3875</v>
      </c>
      <c r="N7" s="11">
        <f t="shared" si="9"/>
        <v>-38750</v>
      </c>
      <c r="O7" s="12">
        <f t="shared" si="4"/>
        <v>0.8</v>
      </c>
      <c r="P7" s="11" t="str">
        <f>IF(Actuals_Monthly!B7="","",Actuals_Monthly!B7)</f>
        <v/>
      </c>
      <c r="Q7" s="11" t="str">
        <f>IF(OR(Actuals_Monthly!B7="",Actuals_Monthly!C7="",Actuals_Monthly!D7=""),"",Actuals_Monthly!B7-Actuals_Monthly!C7-Actuals_Monthly!D7)</f>
        <v/>
      </c>
      <c r="R7" s="11" t="str">
        <f t="shared" si="5"/>
        <v/>
      </c>
      <c r="S7" s="11" t="str">
        <f t="shared" si="6"/>
        <v/>
      </c>
      <c r="T7" s="10" t="str">
        <f t="shared" si="7"/>
        <v>أدخل الفعلي</v>
      </c>
      <c r="U7" s="17">
        <f t="shared" si="8"/>
        <v>0</v>
      </c>
    </row>
    <row r="8" spans="1:21" ht="24" customHeight="1">
      <c r="A8" s="10">
        <v>4</v>
      </c>
      <c r="B8" s="10" t="str">
        <f t="shared" si="0"/>
        <v>Q2</v>
      </c>
      <c r="C8" s="18">
        <f>C7*(1-Inputs!$C$15)+Inputs!$C$12</f>
        <v>2</v>
      </c>
      <c r="D8" s="18">
        <f>D7*(1-Inputs!$C$15)+Inputs!$C$13</f>
        <v>1</v>
      </c>
      <c r="E8" s="18">
        <f>E7*(1-Inputs!$C$15)+Inputs!$C$14</f>
        <v>0</v>
      </c>
      <c r="F8" s="18">
        <f t="shared" si="1"/>
        <v>3</v>
      </c>
      <c r="G8" s="11">
        <f>C8*Inputs!$C$6/12</f>
        <v>416.66666666666669</v>
      </c>
      <c r="H8" s="11">
        <f>D8*Inputs!$C$7/12</f>
        <v>625</v>
      </c>
      <c r="I8" s="11">
        <f>E8*Inputs!$C$8/12</f>
        <v>0</v>
      </c>
      <c r="J8" s="11">
        <f t="shared" si="2"/>
        <v>1041.6666666666667</v>
      </c>
      <c r="K8" s="11">
        <f>J8*Inputs!$C$16</f>
        <v>208.33333333333337</v>
      </c>
      <c r="L8" s="11">
        <f>Inputs!$C$17</f>
        <v>4500</v>
      </c>
      <c r="M8" s="11">
        <f t="shared" si="3"/>
        <v>-3666.6666666666665</v>
      </c>
      <c r="N8" s="11">
        <f t="shared" si="9"/>
        <v>-42416.666666666664</v>
      </c>
      <c r="O8" s="12">
        <f t="shared" si="4"/>
        <v>0.79999999999999993</v>
      </c>
      <c r="P8" s="11" t="str">
        <f>IF(Actuals_Monthly!B8="","",Actuals_Monthly!B8)</f>
        <v/>
      </c>
      <c r="Q8" s="11" t="str">
        <f>IF(OR(Actuals_Monthly!B8="",Actuals_Monthly!C8="",Actuals_Monthly!D8=""),"",Actuals_Monthly!B8-Actuals_Monthly!C8-Actuals_Monthly!D8)</f>
        <v/>
      </c>
      <c r="R8" s="11" t="str">
        <f t="shared" si="5"/>
        <v/>
      </c>
      <c r="S8" s="11" t="str">
        <f t="shared" si="6"/>
        <v/>
      </c>
      <c r="T8" s="10" t="str">
        <f t="shared" si="7"/>
        <v>أدخل الفعلي</v>
      </c>
      <c r="U8" s="17">
        <f t="shared" si="8"/>
        <v>0</v>
      </c>
    </row>
    <row r="9" spans="1:21" ht="24" customHeight="1">
      <c r="A9" s="10">
        <v>5</v>
      </c>
      <c r="B9" s="10" t="str">
        <f t="shared" si="0"/>
        <v>Q2</v>
      </c>
      <c r="C9" s="18">
        <f>C8*(1-Inputs!$C$15)+Inputs!$C$12</f>
        <v>2.5</v>
      </c>
      <c r="D9" s="18">
        <f>D8*(1-Inputs!$C$15)+Inputs!$C$13</f>
        <v>1.25</v>
      </c>
      <c r="E9" s="18">
        <f>E8*(1-Inputs!$C$15)+Inputs!$C$14</f>
        <v>0</v>
      </c>
      <c r="F9" s="18">
        <f t="shared" si="1"/>
        <v>3.75</v>
      </c>
      <c r="G9" s="11">
        <f>C9*Inputs!$C$6/12</f>
        <v>520.83333333333337</v>
      </c>
      <c r="H9" s="11">
        <f>D9*Inputs!$C$7/12</f>
        <v>781.25</v>
      </c>
      <c r="I9" s="11">
        <f>E9*Inputs!$C$8/12</f>
        <v>0</v>
      </c>
      <c r="J9" s="11">
        <f t="shared" si="2"/>
        <v>1302.0833333333335</v>
      </c>
      <c r="K9" s="11">
        <f>J9*Inputs!$C$16</f>
        <v>260.41666666666669</v>
      </c>
      <c r="L9" s="11">
        <f>Inputs!$C$17</f>
        <v>4500</v>
      </c>
      <c r="M9" s="11">
        <f t="shared" si="3"/>
        <v>-3458.333333333333</v>
      </c>
      <c r="N9" s="11">
        <f t="shared" si="9"/>
        <v>-45875</v>
      </c>
      <c r="O9" s="12">
        <f t="shared" si="4"/>
        <v>0.79999999999999993</v>
      </c>
      <c r="P9" s="11" t="str">
        <f>IF(Actuals_Monthly!B9="","",Actuals_Monthly!B9)</f>
        <v/>
      </c>
      <c r="Q9" s="11" t="str">
        <f>IF(OR(Actuals_Monthly!B9="",Actuals_Monthly!C9="",Actuals_Monthly!D9=""),"",Actuals_Monthly!B9-Actuals_Monthly!C9-Actuals_Monthly!D9)</f>
        <v/>
      </c>
      <c r="R9" s="11" t="str">
        <f t="shared" si="5"/>
        <v/>
      </c>
      <c r="S9" s="11" t="str">
        <f t="shared" si="6"/>
        <v/>
      </c>
      <c r="T9" s="10" t="str">
        <f t="shared" si="7"/>
        <v>أدخل الفعلي</v>
      </c>
      <c r="U9" s="17">
        <f t="shared" si="8"/>
        <v>0</v>
      </c>
    </row>
    <row r="10" spans="1:21" ht="24" customHeight="1">
      <c r="A10" s="10">
        <v>6</v>
      </c>
      <c r="B10" s="10" t="str">
        <f t="shared" si="0"/>
        <v>Q2</v>
      </c>
      <c r="C10" s="18">
        <f>C9*(1-Inputs!$C$15)+Inputs!$C$12</f>
        <v>3</v>
      </c>
      <c r="D10" s="18">
        <f>D9*(1-Inputs!$C$15)+Inputs!$C$13</f>
        <v>1.5</v>
      </c>
      <c r="E10" s="18">
        <f>E9*(1-Inputs!$C$15)+Inputs!$C$14</f>
        <v>0</v>
      </c>
      <c r="F10" s="18">
        <f t="shared" si="1"/>
        <v>4.5</v>
      </c>
      <c r="G10" s="11">
        <f>C10*Inputs!$C$6/12</f>
        <v>625</v>
      </c>
      <c r="H10" s="11">
        <f>D10*Inputs!$C$7/12</f>
        <v>937.5</v>
      </c>
      <c r="I10" s="11">
        <f>E10*Inputs!$C$8/12</f>
        <v>0</v>
      </c>
      <c r="J10" s="11">
        <f t="shared" si="2"/>
        <v>1562.5</v>
      </c>
      <c r="K10" s="11">
        <f>J10*Inputs!$C$16</f>
        <v>312.5</v>
      </c>
      <c r="L10" s="11">
        <f>Inputs!$C$17</f>
        <v>4500</v>
      </c>
      <c r="M10" s="11">
        <f t="shared" si="3"/>
        <v>-3250</v>
      </c>
      <c r="N10" s="11">
        <f t="shared" si="9"/>
        <v>-49125</v>
      </c>
      <c r="O10" s="12">
        <f t="shared" si="4"/>
        <v>0.8</v>
      </c>
      <c r="P10" s="11" t="str">
        <f>IF(Actuals_Monthly!B10="","",Actuals_Monthly!B10)</f>
        <v/>
      </c>
      <c r="Q10" s="11" t="str">
        <f>IF(OR(Actuals_Monthly!B10="",Actuals_Monthly!C10="",Actuals_Monthly!D10=""),"",Actuals_Monthly!B10-Actuals_Monthly!C10-Actuals_Monthly!D10)</f>
        <v/>
      </c>
      <c r="R10" s="11" t="str">
        <f t="shared" si="5"/>
        <v/>
      </c>
      <c r="S10" s="11" t="str">
        <f t="shared" si="6"/>
        <v/>
      </c>
      <c r="T10" s="10" t="str">
        <f t="shared" si="7"/>
        <v>أدخل الفعلي</v>
      </c>
      <c r="U10" s="17">
        <f t="shared" si="8"/>
        <v>0</v>
      </c>
    </row>
    <row r="11" spans="1:21" ht="24" customHeight="1">
      <c r="A11" s="10">
        <v>7</v>
      </c>
      <c r="B11" s="10" t="str">
        <f t="shared" si="0"/>
        <v>Q3</v>
      </c>
      <c r="C11" s="18">
        <f>C10*(1-Inputs!$C$15)+Inputs!$C$12</f>
        <v>3.5</v>
      </c>
      <c r="D11" s="18">
        <f>D10*(1-Inputs!$C$15)+Inputs!$C$13</f>
        <v>1.75</v>
      </c>
      <c r="E11" s="18">
        <f>E10*(1-Inputs!$C$15)+Inputs!$C$14</f>
        <v>0</v>
      </c>
      <c r="F11" s="18">
        <f t="shared" si="1"/>
        <v>5.25</v>
      </c>
      <c r="G11" s="11">
        <f>C11*Inputs!$C$6/12</f>
        <v>729.16666666666663</v>
      </c>
      <c r="H11" s="11">
        <f>D11*Inputs!$C$7/12</f>
        <v>1093.75</v>
      </c>
      <c r="I11" s="11">
        <f>E11*Inputs!$C$8/12</f>
        <v>0</v>
      </c>
      <c r="J11" s="11">
        <f t="shared" si="2"/>
        <v>1822.9166666666665</v>
      </c>
      <c r="K11" s="11">
        <f>J11*Inputs!$C$16</f>
        <v>364.58333333333331</v>
      </c>
      <c r="L11" s="11">
        <f>Inputs!$C$17</f>
        <v>4500</v>
      </c>
      <c r="M11" s="11">
        <f t="shared" si="3"/>
        <v>-3041.666666666667</v>
      </c>
      <c r="N11" s="11">
        <f t="shared" si="9"/>
        <v>-52166.666666666664</v>
      </c>
      <c r="O11" s="12">
        <f t="shared" si="4"/>
        <v>0.8</v>
      </c>
      <c r="P11" s="11" t="str">
        <f>IF(Actuals_Monthly!B11="","",Actuals_Monthly!B11)</f>
        <v/>
      </c>
      <c r="Q11" s="11" t="str">
        <f>IF(OR(Actuals_Monthly!B11="",Actuals_Monthly!C11="",Actuals_Monthly!D11=""),"",Actuals_Monthly!B11-Actuals_Monthly!C11-Actuals_Monthly!D11)</f>
        <v/>
      </c>
      <c r="R11" s="11" t="str">
        <f t="shared" si="5"/>
        <v/>
      </c>
      <c r="S11" s="11" t="str">
        <f t="shared" si="6"/>
        <v/>
      </c>
      <c r="T11" s="10" t="str">
        <f t="shared" si="7"/>
        <v>أدخل الفعلي</v>
      </c>
      <c r="U11" s="17">
        <f t="shared" si="8"/>
        <v>0</v>
      </c>
    </row>
    <row r="12" spans="1:21" ht="24" customHeight="1">
      <c r="A12" s="10">
        <v>8</v>
      </c>
      <c r="B12" s="10" t="str">
        <f t="shared" si="0"/>
        <v>Q3</v>
      </c>
      <c r="C12" s="18">
        <f>C11*(1-Inputs!$C$15)+Inputs!$C$12</f>
        <v>4</v>
      </c>
      <c r="D12" s="18">
        <f>D11*(1-Inputs!$C$15)+Inputs!$C$13</f>
        <v>2</v>
      </c>
      <c r="E12" s="18">
        <f>E11*(1-Inputs!$C$15)+Inputs!$C$14</f>
        <v>0</v>
      </c>
      <c r="F12" s="18">
        <f t="shared" si="1"/>
        <v>6</v>
      </c>
      <c r="G12" s="11">
        <f>C12*Inputs!$C$6/12</f>
        <v>833.33333333333337</v>
      </c>
      <c r="H12" s="11">
        <f>D12*Inputs!$C$7/12</f>
        <v>1250</v>
      </c>
      <c r="I12" s="11">
        <f>E12*Inputs!$C$8/12</f>
        <v>0</v>
      </c>
      <c r="J12" s="11">
        <f t="shared" si="2"/>
        <v>2083.3333333333335</v>
      </c>
      <c r="K12" s="11">
        <f>J12*Inputs!$C$16</f>
        <v>416.66666666666674</v>
      </c>
      <c r="L12" s="11">
        <f>Inputs!$C$17</f>
        <v>4500</v>
      </c>
      <c r="M12" s="11">
        <f t="shared" si="3"/>
        <v>-2833.333333333333</v>
      </c>
      <c r="N12" s="11">
        <f t="shared" si="9"/>
        <v>-55000</v>
      </c>
      <c r="O12" s="12">
        <f t="shared" si="4"/>
        <v>0.79999999999999993</v>
      </c>
      <c r="P12" s="11" t="str">
        <f>IF(Actuals_Monthly!B12="","",Actuals_Monthly!B12)</f>
        <v/>
      </c>
      <c r="Q12" s="11" t="str">
        <f>IF(OR(Actuals_Monthly!B12="",Actuals_Monthly!C12="",Actuals_Monthly!D12=""),"",Actuals_Monthly!B12-Actuals_Monthly!C12-Actuals_Monthly!D12)</f>
        <v/>
      </c>
      <c r="R12" s="11" t="str">
        <f t="shared" si="5"/>
        <v/>
      </c>
      <c r="S12" s="11" t="str">
        <f t="shared" si="6"/>
        <v/>
      </c>
      <c r="T12" s="10" t="str">
        <f t="shared" si="7"/>
        <v>أدخل الفعلي</v>
      </c>
      <c r="U12" s="17">
        <f t="shared" si="8"/>
        <v>0</v>
      </c>
    </row>
    <row r="13" spans="1:21" ht="24" customHeight="1">
      <c r="A13" s="10">
        <v>9</v>
      </c>
      <c r="B13" s="10" t="str">
        <f t="shared" si="0"/>
        <v>Q3</v>
      </c>
      <c r="C13" s="18">
        <f>C12*(1-Inputs!$C$15)+Inputs!$C$12</f>
        <v>4.5</v>
      </c>
      <c r="D13" s="18">
        <f>D12*(1-Inputs!$C$15)+Inputs!$C$13</f>
        <v>2.25</v>
      </c>
      <c r="E13" s="18">
        <f>E12*(1-Inputs!$C$15)+Inputs!$C$14</f>
        <v>0</v>
      </c>
      <c r="F13" s="18">
        <f t="shared" si="1"/>
        <v>6.75</v>
      </c>
      <c r="G13" s="11">
        <f>C13*Inputs!$C$6/12</f>
        <v>937.5</v>
      </c>
      <c r="H13" s="11">
        <f>D13*Inputs!$C$7/12</f>
        <v>1406.25</v>
      </c>
      <c r="I13" s="11">
        <f>E13*Inputs!$C$8/12</f>
        <v>0</v>
      </c>
      <c r="J13" s="11">
        <f t="shared" si="2"/>
        <v>2343.75</v>
      </c>
      <c r="K13" s="11">
        <f>J13*Inputs!$C$16</f>
        <v>468.75</v>
      </c>
      <c r="L13" s="11">
        <f>Inputs!$C$17</f>
        <v>4500</v>
      </c>
      <c r="M13" s="11">
        <f t="shared" si="3"/>
        <v>-2625</v>
      </c>
      <c r="N13" s="11">
        <f t="shared" si="9"/>
        <v>-57625</v>
      </c>
      <c r="O13" s="12">
        <f t="shared" si="4"/>
        <v>0.8</v>
      </c>
      <c r="P13" s="11" t="str">
        <f>IF(Actuals_Monthly!B13="","",Actuals_Monthly!B13)</f>
        <v/>
      </c>
      <c r="Q13" s="11" t="str">
        <f>IF(OR(Actuals_Monthly!B13="",Actuals_Monthly!C13="",Actuals_Monthly!D13=""),"",Actuals_Monthly!B13-Actuals_Monthly!C13-Actuals_Monthly!D13)</f>
        <v/>
      </c>
      <c r="R13" s="11" t="str">
        <f t="shared" si="5"/>
        <v/>
      </c>
      <c r="S13" s="11" t="str">
        <f t="shared" si="6"/>
        <v/>
      </c>
      <c r="T13" s="10" t="str">
        <f t="shared" si="7"/>
        <v>أدخل الفعلي</v>
      </c>
      <c r="U13" s="17">
        <f t="shared" si="8"/>
        <v>0</v>
      </c>
    </row>
    <row r="14" spans="1:21" ht="24" customHeight="1">
      <c r="A14" s="10">
        <v>10</v>
      </c>
      <c r="B14" s="10" t="str">
        <f t="shared" si="0"/>
        <v>Q4</v>
      </c>
      <c r="C14" s="18">
        <f>C13*(1-Inputs!$C$15)+Inputs!$C$12</f>
        <v>5</v>
      </c>
      <c r="D14" s="18">
        <f>D13*(1-Inputs!$C$15)+Inputs!$C$13</f>
        <v>2.5</v>
      </c>
      <c r="E14" s="18">
        <f>E13*(1-Inputs!$C$15)+Inputs!$C$14</f>
        <v>0</v>
      </c>
      <c r="F14" s="18">
        <f t="shared" si="1"/>
        <v>7.5</v>
      </c>
      <c r="G14" s="11">
        <f>C14*Inputs!$C$6/12</f>
        <v>1041.6666666666667</v>
      </c>
      <c r="H14" s="11">
        <f>D14*Inputs!$C$7/12</f>
        <v>1562.5</v>
      </c>
      <c r="I14" s="11">
        <f>E14*Inputs!$C$8/12</f>
        <v>0</v>
      </c>
      <c r="J14" s="11">
        <f t="shared" si="2"/>
        <v>2604.166666666667</v>
      </c>
      <c r="K14" s="11">
        <f>J14*Inputs!$C$16</f>
        <v>520.83333333333337</v>
      </c>
      <c r="L14" s="11">
        <f>Inputs!$C$17</f>
        <v>4500</v>
      </c>
      <c r="M14" s="11">
        <f t="shared" si="3"/>
        <v>-2416.6666666666665</v>
      </c>
      <c r="N14" s="11">
        <f t="shared" si="9"/>
        <v>-60041.666666666664</v>
      </c>
      <c r="O14" s="12">
        <f t="shared" si="4"/>
        <v>0.79999999999999993</v>
      </c>
      <c r="P14" s="11" t="str">
        <f>IF(Actuals_Monthly!B14="","",Actuals_Monthly!B14)</f>
        <v/>
      </c>
      <c r="Q14" s="11" t="str">
        <f>IF(OR(Actuals_Monthly!B14="",Actuals_Monthly!C14="",Actuals_Monthly!D14=""),"",Actuals_Monthly!B14-Actuals_Monthly!C14-Actuals_Monthly!D14)</f>
        <v/>
      </c>
      <c r="R14" s="11" t="str">
        <f t="shared" si="5"/>
        <v/>
      </c>
      <c r="S14" s="11" t="str">
        <f t="shared" si="6"/>
        <v/>
      </c>
      <c r="T14" s="10" t="str">
        <f t="shared" si="7"/>
        <v>أدخل الفعلي</v>
      </c>
      <c r="U14" s="17">
        <f t="shared" si="8"/>
        <v>0</v>
      </c>
    </row>
    <row r="15" spans="1:21" ht="24" customHeight="1">
      <c r="A15" s="10">
        <v>11</v>
      </c>
      <c r="B15" s="10" t="str">
        <f t="shared" si="0"/>
        <v>Q4</v>
      </c>
      <c r="C15" s="18">
        <f>C14*(1-Inputs!$C$15)+Inputs!$C$12</f>
        <v>5.5</v>
      </c>
      <c r="D15" s="18">
        <f>D14*(1-Inputs!$C$15)+Inputs!$C$13</f>
        <v>2.75</v>
      </c>
      <c r="E15" s="18">
        <f>E14*(1-Inputs!$C$15)+Inputs!$C$14</f>
        <v>0</v>
      </c>
      <c r="F15" s="18">
        <f t="shared" si="1"/>
        <v>8.25</v>
      </c>
      <c r="G15" s="11">
        <f>C15*Inputs!$C$6/12</f>
        <v>1145.8333333333333</v>
      </c>
      <c r="H15" s="11">
        <f>D15*Inputs!$C$7/12</f>
        <v>1718.75</v>
      </c>
      <c r="I15" s="11">
        <f>E15*Inputs!$C$8/12</f>
        <v>0</v>
      </c>
      <c r="J15" s="11">
        <f t="shared" si="2"/>
        <v>2864.583333333333</v>
      </c>
      <c r="K15" s="11">
        <f>J15*Inputs!$C$16</f>
        <v>572.91666666666663</v>
      </c>
      <c r="L15" s="11">
        <f>Inputs!$C$17</f>
        <v>4500</v>
      </c>
      <c r="M15" s="11">
        <f t="shared" si="3"/>
        <v>-2208.3333333333335</v>
      </c>
      <c r="N15" s="11">
        <f t="shared" si="9"/>
        <v>-62250</v>
      </c>
      <c r="O15" s="12">
        <f t="shared" si="4"/>
        <v>0.8</v>
      </c>
      <c r="P15" s="11" t="str">
        <f>IF(Actuals_Monthly!B15="","",Actuals_Monthly!B15)</f>
        <v/>
      </c>
      <c r="Q15" s="11" t="str">
        <f>IF(OR(Actuals_Monthly!B15="",Actuals_Monthly!C15="",Actuals_Monthly!D15=""),"",Actuals_Monthly!B15-Actuals_Monthly!C15-Actuals_Monthly!D15)</f>
        <v/>
      </c>
      <c r="R15" s="11" t="str">
        <f t="shared" si="5"/>
        <v/>
      </c>
      <c r="S15" s="11" t="str">
        <f t="shared" si="6"/>
        <v/>
      </c>
      <c r="T15" s="10" t="str">
        <f t="shared" si="7"/>
        <v>أدخل الفعلي</v>
      </c>
      <c r="U15" s="17">
        <f t="shared" si="8"/>
        <v>0</v>
      </c>
    </row>
    <row r="16" spans="1:21" ht="24" customHeight="1">
      <c r="A16" s="10">
        <v>12</v>
      </c>
      <c r="B16" s="10" t="str">
        <f t="shared" si="0"/>
        <v>Q4</v>
      </c>
      <c r="C16" s="18">
        <f>C15*(1-Inputs!$C$15)+Inputs!$C$12</f>
        <v>6</v>
      </c>
      <c r="D16" s="18">
        <f>D15*(1-Inputs!$C$15)+Inputs!$C$13</f>
        <v>3</v>
      </c>
      <c r="E16" s="18">
        <f>E15*(1-Inputs!$C$15)+Inputs!$C$14</f>
        <v>0</v>
      </c>
      <c r="F16" s="18">
        <f t="shared" si="1"/>
        <v>9</v>
      </c>
      <c r="G16" s="11">
        <f>C16*Inputs!$C$6/12</f>
        <v>1250</v>
      </c>
      <c r="H16" s="11">
        <f>D16*Inputs!$C$7/12</f>
        <v>1875</v>
      </c>
      <c r="I16" s="11">
        <f>E16*Inputs!$C$8/12</f>
        <v>0</v>
      </c>
      <c r="J16" s="11">
        <f t="shared" si="2"/>
        <v>3125</v>
      </c>
      <c r="K16" s="11">
        <f>J16*Inputs!$C$16</f>
        <v>625</v>
      </c>
      <c r="L16" s="11">
        <f>Inputs!$C$17</f>
        <v>4500</v>
      </c>
      <c r="M16" s="11">
        <f t="shared" si="3"/>
        <v>-2000</v>
      </c>
      <c r="N16" s="11">
        <f t="shared" si="9"/>
        <v>-64250</v>
      </c>
      <c r="O16" s="12">
        <f t="shared" si="4"/>
        <v>0.8</v>
      </c>
      <c r="P16" s="11" t="str">
        <f>IF(Actuals_Monthly!B16="","",Actuals_Monthly!B16)</f>
        <v/>
      </c>
      <c r="Q16" s="11" t="str">
        <f>IF(OR(Actuals_Monthly!B16="",Actuals_Monthly!C16="",Actuals_Monthly!D16=""),"",Actuals_Monthly!B16-Actuals_Monthly!C16-Actuals_Monthly!D16)</f>
        <v/>
      </c>
      <c r="R16" s="11" t="str">
        <f t="shared" si="5"/>
        <v/>
      </c>
      <c r="S16" s="11" t="str">
        <f t="shared" si="6"/>
        <v/>
      </c>
      <c r="T16" s="10" t="str">
        <f t="shared" si="7"/>
        <v>أدخل الفعلي</v>
      </c>
      <c r="U16" s="17">
        <f t="shared" si="8"/>
        <v>0</v>
      </c>
    </row>
    <row r="17" spans="1:21" ht="24" customHeight="1">
      <c r="A17" s="10">
        <v>13</v>
      </c>
      <c r="B17" s="10" t="str">
        <f t="shared" si="0"/>
        <v>Q5</v>
      </c>
      <c r="C17" s="18">
        <f>C16*(1-Inputs!$C$15)+Inputs!$C$12</f>
        <v>6.5</v>
      </c>
      <c r="D17" s="18">
        <f>D16*(1-Inputs!$C$15)+Inputs!$C$13</f>
        <v>3.25</v>
      </c>
      <c r="E17" s="18">
        <f>E16*(1-Inputs!$C$15)+Inputs!$C$14</f>
        <v>0</v>
      </c>
      <c r="F17" s="18">
        <f t="shared" si="1"/>
        <v>9.75</v>
      </c>
      <c r="G17" s="11">
        <f>C17*Inputs!$C$6/12</f>
        <v>1354.1666666666667</v>
      </c>
      <c r="H17" s="11">
        <f>D17*Inputs!$C$7/12</f>
        <v>2031.25</v>
      </c>
      <c r="I17" s="11">
        <f>E17*Inputs!$C$8/12</f>
        <v>0</v>
      </c>
      <c r="J17" s="11">
        <f t="shared" si="2"/>
        <v>3385.416666666667</v>
      </c>
      <c r="K17" s="11">
        <f>J17*Inputs!$C$16</f>
        <v>677.08333333333348</v>
      </c>
      <c r="L17" s="11">
        <f>Inputs!$C$17</f>
        <v>4500</v>
      </c>
      <c r="M17" s="11">
        <f t="shared" si="3"/>
        <v>-1791.6666666666665</v>
      </c>
      <c r="N17" s="11">
        <f t="shared" si="9"/>
        <v>-66041.666666666672</v>
      </c>
      <c r="O17" s="12">
        <f t="shared" si="4"/>
        <v>0.79999999999999993</v>
      </c>
      <c r="P17" s="11" t="str">
        <f>IF(Actuals_Monthly!B17="","",Actuals_Monthly!B17)</f>
        <v/>
      </c>
      <c r="Q17" s="11" t="str">
        <f>IF(OR(Actuals_Monthly!B17="",Actuals_Monthly!C17="",Actuals_Monthly!D17=""),"",Actuals_Monthly!B17-Actuals_Monthly!C17-Actuals_Monthly!D17)</f>
        <v/>
      </c>
      <c r="R17" s="11" t="str">
        <f t="shared" si="5"/>
        <v/>
      </c>
      <c r="S17" s="11" t="str">
        <f t="shared" si="6"/>
        <v/>
      </c>
      <c r="T17" s="10" t="str">
        <f t="shared" si="7"/>
        <v>أدخل الفعلي</v>
      </c>
      <c r="U17" s="17">
        <f t="shared" si="8"/>
        <v>0</v>
      </c>
    </row>
    <row r="18" spans="1:21" ht="24" customHeight="1">
      <c r="A18" s="10">
        <v>14</v>
      </c>
      <c r="B18" s="10" t="str">
        <f t="shared" si="0"/>
        <v>Q5</v>
      </c>
      <c r="C18" s="18">
        <f>C17*(1-Inputs!$C$15)+Inputs!$C$12</f>
        <v>7</v>
      </c>
      <c r="D18" s="18">
        <f>D17*(1-Inputs!$C$15)+Inputs!$C$13</f>
        <v>3.5</v>
      </c>
      <c r="E18" s="18">
        <f>E17*(1-Inputs!$C$15)+Inputs!$C$14</f>
        <v>0</v>
      </c>
      <c r="F18" s="18">
        <f t="shared" si="1"/>
        <v>10.5</v>
      </c>
      <c r="G18" s="11">
        <f>C18*Inputs!$C$6/12</f>
        <v>1458.3333333333333</v>
      </c>
      <c r="H18" s="11">
        <f>D18*Inputs!$C$7/12</f>
        <v>2187.5</v>
      </c>
      <c r="I18" s="11">
        <f>E18*Inputs!$C$8/12</f>
        <v>0</v>
      </c>
      <c r="J18" s="11">
        <f t="shared" si="2"/>
        <v>3645.833333333333</v>
      </c>
      <c r="K18" s="11">
        <f>J18*Inputs!$C$16</f>
        <v>729.16666666666663</v>
      </c>
      <c r="L18" s="11">
        <f>Inputs!$C$17</f>
        <v>4500</v>
      </c>
      <c r="M18" s="11">
        <f t="shared" si="3"/>
        <v>-1583.3333333333335</v>
      </c>
      <c r="N18" s="11">
        <f t="shared" si="9"/>
        <v>-67625</v>
      </c>
      <c r="O18" s="12">
        <f t="shared" si="4"/>
        <v>0.8</v>
      </c>
      <c r="P18" s="11" t="str">
        <f>IF(Actuals_Monthly!B18="","",Actuals_Monthly!B18)</f>
        <v/>
      </c>
      <c r="Q18" s="11" t="str">
        <f>IF(OR(Actuals_Monthly!B18="",Actuals_Monthly!C18="",Actuals_Monthly!D18=""),"",Actuals_Monthly!B18-Actuals_Monthly!C18-Actuals_Monthly!D18)</f>
        <v/>
      </c>
      <c r="R18" s="11" t="str">
        <f t="shared" si="5"/>
        <v/>
      </c>
      <c r="S18" s="11" t="str">
        <f t="shared" si="6"/>
        <v/>
      </c>
      <c r="T18" s="10" t="str">
        <f t="shared" si="7"/>
        <v>أدخل الفعلي</v>
      </c>
      <c r="U18" s="17">
        <f t="shared" si="8"/>
        <v>0</v>
      </c>
    </row>
    <row r="19" spans="1:21" ht="24" customHeight="1">
      <c r="A19" s="10">
        <v>15</v>
      </c>
      <c r="B19" s="10" t="str">
        <f t="shared" si="0"/>
        <v>Q5</v>
      </c>
      <c r="C19" s="18">
        <f>C18*(1-Inputs!$C$15)+Inputs!$C$12</f>
        <v>7.5</v>
      </c>
      <c r="D19" s="18">
        <f>D18*(1-Inputs!$C$15)+Inputs!$C$13</f>
        <v>3.75</v>
      </c>
      <c r="E19" s="18">
        <f>E18*(1-Inputs!$C$15)+Inputs!$C$14</f>
        <v>0</v>
      </c>
      <c r="F19" s="18">
        <f t="shared" si="1"/>
        <v>11.25</v>
      </c>
      <c r="G19" s="11">
        <f>C19*Inputs!$C$6/12</f>
        <v>1562.5</v>
      </c>
      <c r="H19" s="11">
        <f>D19*Inputs!$C$7/12</f>
        <v>2343.75</v>
      </c>
      <c r="I19" s="11">
        <f>E19*Inputs!$C$8/12</f>
        <v>0</v>
      </c>
      <c r="J19" s="11">
        <f t="shared" si="2"/>
        <v>3906.25</v>
      </c>
      <c r="K19" s="11">
        <f>J19*Inputs!$C$16</f>
        <v>781.25</v>
      </c>
      <c r="L19" s="11">
        <f>Inputs!$C$17</f>
        <v>4500</v>
      </c>
      <c r="M19" s="11">
        <f t="shared" si="3"/>
        <v>-1375</v>
      </c>
      <c r="N19" s="11">
        <f t="shared" si="9"/>
        <v>-69000</v>
      </c>
      <c r="O19" s="12">
        <f t="shared" si="4"/>
        <v>0.8</v>
      </c>
      <c r="P19" s="11" t="str">
        <f>IF(Actuals_Monthly!B19="","",Actuals_Monthly!B19)</f>
        <v/>
      </c>
      <c r="Q19" s="11" t="str">
        <f>IF(OR(Actuals_Monthly!B19="",Actuals_Monthly!C19="",Actuals_Monthly!D19=""),"",Actuals_Monthly!B19-Actuals_Monthly!C19-Actuals_Monthly!D19)</f>
        <v/>
      </c>
      <c r="R19" s="11" t="str">
        <f t="shared" si="5"/>
        <v/>
      </c>
      <c r="S19" s="11" t="str">
        <f t="shared" si="6"/>
        <v/>
      </c>
      <c r="T19" s="10" t="str">
        <f t="shared" si="7"/>
        <v>أدخل الفعلي</v>
      </c>
      <c r="U19" s="17">
        <f t="shared" si="8"/>
        <v>0</v>
      </c>
    </row>
    <row r="20" spans="1:21" ht="24" customHeight="1">
      <c r="A20" s="10">
        <v>16</v>
      </c>
      <c r="B20" s="10" t="str">
        <f t="shared" si="0"/>
        <v>Q6</v>
      </c>
      <c r="C20" s="18">
        <f>C19*(1-Inputs!$C$15)+Inputs!$C$12</f>
        <v>8</v>
      </c>
      <c r="D20" s="18">
        <f>D19*(1-Inputs!$C$15)+Inputs!$C$13</f>
        <v>4</v>
      </c>
      <c r="E20" s="18">
        <f>E19*(1-Inputs!$C$15)+Inputs!$C$14</f>
        <v>0</v>
      </c>
      <c r="F20" s="18">
        <f t="shared" si="1"/>
        <v>12</v>
      </c>
      <c r="G20" s="11">
        <f>C20*Inputs!$C$6/12</f>
        <v>1666.6666666666667</v>
      </c>
      <c r="H20" s="11">
        <f>D20*Inputs!$C$7/12</f>
        <v>2500</v>
      </c>
      <c r="I20" s="11">
        <f>E20*Inputs!$C$8/12</f>
        <v>0</v>
      </c>
      <c r="J20" s="11">
        <f t="shared" si="2"/>
        <v>4166.666666666667</v>
      </c>
      <c r="K20" s="11">
        <f>J20*Inputs!$C$16</f>
        <v>833.33333333333348</v>
      </c>
      <c r="L20" s="11">
        <f>Inputs!$C$17</f>
        <v>4500</v>
      </c>
      <c r="M20" s="11">
        <f t="shared" si="3"/>
        <v>-1166.6666666666665</v>
      </c>
      <c r="N20" s="11">
        <f t="shared" si="9"/>
        <v>-70166.666666666672</v>
      </c>
      <c r="O20" s="12">
        <f t="shared" si="4"/>
        <v>0.79999999999999993</v>
      </c>
      <c r="P20" s="11" t="str">
        <f>IF(Actuals_Monthly!B20="","",Actuals_Monthly!B20)</f>
        <v/>
      </c>
      <c r="Q20" s="11" t="str">
        <f>IF(OR(Actuals_Monthly!B20="",Actuals_Monthly!C20="",Actuals_Monthly!D20=""),"",Actuals_Monthly!B20-Actuals_Monthly!C20-Actuals_Monthly!D20)</f>
        <v/>
      </c>
      <c r="R20" s="11" t="str">
        <f t="shared" si="5"/>
        <v/>
      </c>
      <c r="S20" s="11" t="str">
        <f t="shared" si="6"/>
        <v/>
      </c>
      <c r="T20" s="10" t="str">
        <f t="shared" si="7"/>
        <v>أدخل الفعلي</v>
      </c>
      <c r="U20" s="17">
        <f t="shared" si="8"/>
        <v>0</v>
      </c>
    </row>
    <row r="21" spans="1:21" ht="24" customHeight="1">
      <c r="A21" s="10">
        <v>17</v>
      </c>
      <c r="B21" s="10" t="str">
        <f t="shared" si="0"/>
        <v>Q6</v>
      </c>
      <c r="C21" s="18">
        <f>C20*(1-Inputs!$C$15)+Inputs!$C$12</f>
        <v>8.5</v>
      </c>
      <c r="D21" s="18">
        <f>D20*(1-Inputs!$C$15)+Inputs!$C$13</f>
        <v>4.25</v>
      </c>
      <c r="E21" s="18">
        <f>E20*(1-Inputs!$C$15)+Inputs!$C$14</f>
        <v>0</v>
      </c>
      <c r="F21" s="18">
        <f t="shared" si="1"/>
        <v>12.75</v>
      </c>
      <c r="G21" s="11">
        <f>C21*Inputs!$C$6/12</f>
        <v>1770.8333333333333</v>
      </c>
      <c r="H21" s="11">
        <f>D21*Inputs!$C$7/12</f>
        <v>2656.25</v>
      </c>
      <c r="I21" s="11">
        <f>E21*Inputs!$C$8/12</f>
        <v>0</v>
      </c>
      <c r="J21" s="11">
        <f t="shared" si="2"/>
        <v>4427.083333333333</v>
      </c>
      <c r="K21" s="11">
        <f>J21*Inputs!$C$16</f>
        <v>885.41666666666663</v>
      </c>
      <c r="L21" s="11">
        <f>Inputs!$C$17</f>
        <v>4500</v>
      </c>
      <c r="M21" s="11">
        <f t="shared" si="3"/>
        <v>-958.33333333333348</v>
      </c>
      <c r="N21" s="11">
        <f t="shared" si="9"/>
        <v>-71125</v>
      </c>
      <c r="O21" s="12">
        <f t="shared" si="4"/>
        <v>0.8</v>
      </c>
      <c r="P21" s="11" t="str">
        <f>IF(Actuals_Monthly!B21="","",Actuals_Monthly!B21)</f>
        <v/>
      </c>
      <c r="Q21" s="11" t="str">
        <f>IF(OR(Actuals_Monthly!B21="",Actuals_Monthly!C21="",Actuals_Monthly!D21=""),"",Actuals_Monthly!B21-Actuals_Monthly!C21-Actuals_Monthly!D21)</f>
        <v/>
      </c>
      <c r="R21" s="11" t="str">
        <f t="shared" si="5"/>
        <v/>
      </c>
      <c r="S21" s="11" t="str">
        <f t="shared" si="6"/>
        <v/>
      </c>
      <c r="T21" s="10" t="str">
        <f t="shared" si="7"/>
        <v>أدخل الفعلي</v>
      </c>
      <c r="U21" s="17">
        <f t="shared" si="8"/>
        <v>0</v>
      </c>
    </row>
    <row r="22" spans="1:21" ht="24" customHeight="1">
      <c r="A22" s="10">
        <v>18</v>
      </c>
      <c r="B22" s="10" t="str">
        <f t="shared" si="0"/>
        <v>Q6</v>
      </c>
      <c r="C22" s="18">
        <f>C21*(1-Inputs!$C$15)+Inputs!$C$12</f>
        <v>9</v>
      </c>
      <c r="D22" s="18">
        <f>D21*(1-Inputs!$C$15)+Inputs!$C$13</f>
        <v>4.5</v>
      </c>
      <c r="E22" s="18">
        <f>E21*(1-Inputs!$C$15)+Inputs!$C$14</f>
        <v>0</v>
      </c>
      <c r="F22" s="18">
        <f t="shared" si="1"/>
        <v>13.5</v>
      </c>
      <c r="G22" s="11">
        <f>C22*Inputs!$C$6/12</f>
        <v>1875</v>
      </c>
      <c r="H22" s="11">
        <f>D22*Inputs!$C$7/12</f>
        <v>2812.5</v>
      </c>
      <c r="I22" s="11">
        <f>E22*Inputs!$C$8/12</f>
        <v>0</v>
      </c>
      <c r="J22" s="11">
        <f t="shared" si="2"/>
        <v>4687.5</v>
      </c>
      <c r="K22" s="11">
        <f>J22*Inputs!$C$16</f>
        <v>937.5</v>
      </c>
      <c r="L22" s="11">
        <f>Inputs!$C$17</f>
        <v>4500</v>
      </c>
      <c r="M22" s="11">
        <f t="shared" si="3"/>
        <v>-750</v>
      </c>
      <c r="N22" s="11">
        <f t="shared" si="9"/>
        <v>-71875</v>
      </c>
      <c r="O22" s="12">
        <f t="shared" si="4"/>
        <v>0.8</v>
      </c>
      <c r="P22" s="11" t="str">
        <f>IF(Actuals_Monthly!B22="","",Actuals_Monthly!B22)</f>
        <v/>
      </c>
      <c r="Q22" s="11" t="str">
        <f>IF(OR(Actuals_Monthly!B22="",Actuals_Monthly!C22="",Actuals_Monthly!D22=""),"",Actuals_Monthly!B22-Actuals_Monthly!C22-Actuals_Monthly!D22)</f>
        <v/>
      </c>
      <c r="R22" s="11" t="str">
        <f t="shared" si="5"/>
        <v/>
      </c>
      <c r="S22" s="11" t="str">
        <f t="shared" si="6"/>
        <v/>
      </c>
      <c r="T22" s="10" t="str">
        <f t="shared" si="7"/>
        <v>أدخل الفعلي</v>
      </c>
      <c r="U22" s="17">
        <f t="shared" si="8"/>
        <v>0</v>
      </c>
    </row>
    <row r="23" spans="1:21" ht="24" customHeight="1">
      <c r="A23" s="10">
        <v>19</v>
      </c>
      <c r="B23" s="10" t="str">
        <f t="shared" si="0"/>
        <v>Q7</v>
      </c>
      <c r="C23" s="18">
        <f>C22*(1-Inputs!$C$15)+Inputs!$C$12</f>
        <v>9.5</v>
      </c>
      <c r="D23" s="18">
        <f>D22*(1-Inputs!$C$15)+Inputs!$C$13</f>
        <v>4.75</v>
      </c>
      <c r="E23" s="18">
        <f>E22*(1-Inputs!$C$15)+Inputs!$C$14</f>
        <v>0</v>
      </c>
      <c r="F23" s="18">
        <f t="shared" si="1"/>
        <v>14.25</v>
      </c>
      <c r="G23" s="11">
        <f>C23*Inputs!$C$6/12</f>
        <v>1979.1666666666667</v>
      </c>
      <c r="H23" s="11">
        <f>D23*Inputs!$C$7/12</f>
        <v>2968.75</v>
      </c>
      <c r="I23" s="11">
        <f>E23*Inputs!$C$8/12</f>
        <v>0</v>
      </c>
      <c r="J23" s="11">
        <f t="shared" si="2"/>
        <v>4947.916666666667</v>
      </c>
      <c r="K23" s="11">
        <f>J23*Inputs!$C$16</f>
        <v>989.58333333333348</v>
      </c>
      <c r="L23" s="11">
        <f>Inputs!$C$17</f>
        <v>4500</v>
      </c>
      <c r="M23" s="11">
        <f t="shared" si="3"/>
        <v>-541.66666666666652</v>
      </c>
      <c r="N23" s="11">
        <f t="shared" si="9"/>
        <v>-72416.666666666672</v>
      </c>
      <c r="O23" s="12">
        <f t="shared" si="4"/>
        <v>0.79999999999999993</v>
      </c>
      <c r="P23" s="11" t="str">
        <f>IF(Actuals_Monthly!B23="","",Actuals_Monthly!B23)</f>
        <v/>
      </c>
      <c r="Q23" s="11" t="str">
        <f>IF(OR(Actuals_Monthly!B23="",Actuals_Monthly!C23="",Actuals_Monthly!D23=""),"",Actuals_Monthly!B23-Actuals_Monthly!C23-Actuals_Monthly!D23)</f>
        <v/>
      </c>
      <c r="R23" s="11" t="str">
        <f t="shared" si="5"/>
        <v/>
      </c>
      <c r="S23" s="11" t="str">
        <f t="shared" si="6"/>
        <v/>
      </c>
      <c r="T23" s="10" t="str">
        <f t="shared" si="7"/>
        <v>أدخل الفعلي</v>
      </c>
      <c r="U23" s="17">
        <f t="shared" si="8"/>
        <v>0</v>
      </c>
    </row>
    <row r="24" spans="1:21" ht="24" customHeight="1">
      <c r="A24" s="10">
        <v>20</v>
      </c>
      <c r="B24" s="10" t="str">
        <f t="shared" si="0"/>
        <v>Q7</v>
      </c>
      <c r="C24" s="18">
        <f>C23*(1-Inputs!$C$15)+Inputs!$C$12</f>
        <v>10</v>
      </c>
      <c r="D24" s="18">
        <f>D23*(1-Inputs!$C$15)+Inputs!$C$13</f>
        <v>5</v>
      </c>
      <c r="E24" s="18">
        <f>E23*(1-Inputs!$C$15)+Inputs!$C$14</f>
        <v>0</v>
      </c>
      <c r="F24" s="18">
        <f t="shared" si="1"/>
        <v>15</v>
      </c>
      <c r="G24" s="11">
        <f>C24*Inputs!$C$6/12</f>
        <v>2083.3333333333335</v>
      </c>
      <c r="H24" s="11">
        <f>D24*Inputs!$C$7/12</f>
        <v>3125</v>
      </c>
      <c r="I24" s="11">
        <f>E24*Inputs!$C$8/12</f>
        <v>0</v>
      </c>
      <c r="J24" s="11">
        <f t="shared" si="2"/>
        <v>5208.3333333333339</v>
      </c>
      <c r="K24" s="11">
        <f>J24*Inputs!$C$16</f>
        <v>1041.6666666666667</v>
      </c>
      <c r="L24" s="11">
        <f>Inputs!$C$17</f>
        <v>4500</v>
      </c>
      <c r="M24" s="11">
        <f t="shared" si="3"/>
        <v>-333.33333333333303</v>
      </c>
      <c r="N24" s="11">
        <f t="shared" si="9"/>
        <v>-72750</v>
      </c>
      <c r="O24" s="12">
        <f t="shared" si="4"/>
        <v>0.79999999999999993</v>
      </c>
      <c r="P24" s="11" t="str">
        <f>IF(Actuals_Monthly!B24="","",Actuals_Monthly!B24)</f>
        <v/>
      </c>
      <c r="Q24" s="11" t="str">
        <f>IF(OR(Actuals_Monthly!B24="",Actuals_Monthly!C24="",Actuals_Monthly!D24=""),"",Actuals_Monthly!B24-Actuals_Monthly!C24-Actuals_Monthly!D24)</f>
        <v/>
      </c>
      <c r="R24" s="11" t="str">
        <f t="shared" si="5"/>
        <v/>
      </c>
      <c r="S24" s="11" t="str">
        <f t="shared" si="6"/>
        <v/>
      </c>
      <c r="T24" s="10" t="str">
        <f t="shared" si="7"/>
        <v>أدخل الفعلي</v>
      </c>
      <c r="U24" s="17">
        <f t="shared" si="8"/>
        <v>0</v>
      </c>
    </row>
    <row r="25" spans="1:21" ht="24" customHeight="1">
      <c r="A25" s="10">
        <v>21</v>
      </c>
      <c r="B25" s="10" t="str">
        <f t="shared" si="0"/>
        <v>Q7</v>
      </c>
      <c r="C25" s="18">
        <f>C24*(1-Inputs!$C$15)+Inputs!$C$12</f>
        <v>10.5</v>
      </c>
      <c r="D25" s="18">
        <f>D24*(1-Inputs!$C$15)+Inputs!$C$13</f>
        <v>5.25</v>
      </c>
      <c r="E25" s="18">
        <f>E24*(1-Inputs!$C$15)+Inputs!$C$14</f>
        <v>0</v>
      </c>
      <c r="F25" s="18">
        <f t="shared" si="1"/>
        <v>15.75</v>
      </c>
      <c r="G25" s="11">
        <f>C25*Inputs!$C$6/12</f>
        <v>2187.5</v>
      </c>
      <c r="H25" s="11">
        <f>D25*Inputs!$C$7/12</f>
        <v>3281.25</v>
      </c>
      <c r="I25" s="11">
        <f>E25*Inputs!$C$8/12</f>
        <v>0</v>
      </c>
      <c r="J25" s="11">
        <f t="shared" si="2"/>
        <v>5468.75</v>
      </c>
      <c r="K25" s="11">
        <f>J25*Inputs!$C$16</f>
        <v>1093.75</v>
      </c>
      <c r="L25" s="11">
        <f>Inputs!$C$17</f>
        <v>4500</v>
      </c>
      <c r="M25" s="11">
        <f t="shared" si="3"/>
        <v>-125</v>
      </c>
      <c r="N25" s="11">
        <f t="shared" si="9"/>
        <v>-72875</v>
      </c>
      <c r="O25" s="12">
        <f t="shared" si="4"/>
        <v>0.8</v>
      </c>
      <c r="P25" s="11" t="str">
        <f>IF(Actuals_Monthly!B25="","",Actuals_Monthly!B25)</f>
        <v/>
      </c>
      <c r="Q25" s="11" t="str">
        <f>IF(OR(Actuals_Monthly!B25="",Actuals_Monthly!C25="",Actuals_Monthly!D25=""),"",Actuals_Monthly!B25-Actuals_Monthly!C25-Actuals_Monthly!D25)</f>
        <v/>
      </c>
      <c r="R25" s="11" t="str">
        <f t="shared" si="5"/>
        <v/>
      </c>
      <c r="S25" s="11" t="str">
        <f t="shared" si="6"/>
        <v/>
      </c>
      <c r="T25" s="10" t="str">
        <f t="shared" si="7"/>
        <v>أدخل الفعلي</v>
      </c>
      <c r="U25" s="17">
        <f t="shared" si="8"/>
        <v>0</v>
      </c>
    </row>
    <row r="26" spans="1:21" ht="24" customHeight="1">
      <c r="A26" s="10">
        <v>22</v>
      </c>
      <c r="B26" s="10" t="str">
        <f t="shared" si="0"/>
        <v>Q8</v>
      </c>
      <c r="C26" s="18">
        <f>C25*(1-Inputs!$C$15)+Inputs!$C$12</f>
        <v>11</v>
      </c>
      <c r="D26" s="18">
        <f>D25*(1-Inputs!$C$15)+Inputs!$C$13</f>
        <v>5.5</v>
      </c>
      <c r="E26" s="18">
        <f>E25*(1-Inputs!$C$15)+Inputs!$C$14</f>
        <v>0</v>
      </c>
      <c r="F26" s="18">
        <f t="shared" si="1"/>
        <v>16.5</v>
      </c>
      <c r="G26" s="11">
        <f>C26*Inputs!$C$6/12</f>
        <v>2291.6666666666665</v>
      </c>
      <c r="H26" s="11">
        <f>D26*Inputs!$C$7/12</f>
        <v>3437.5</v>
      </c>
      <c r="I26" s="11">
        <f>E26*Inputs!$C$8/12</f>
        <v>0</v>
      </c>
      <c r="J26" s="11">
        <f t="shared" si="2"/>
        <v>5729.1666666666661</v>
      </c>
      <c r="K26" s="11">
        <f>J26*Inputs!$C$16</f>
        <v>1145.8333333333333</v>
      </c>
      <c r="L26" s="11">
        <f>Inputs!$C$17</f>
        <v>4500</v>
      </c>
      <c r="M26" s="11">
        <f t="shared" si="3"/>
        <v>83.33333333333303</v>
      </c>
      <c r="N26" s="11">
        <f t="shared" si="9"/>
        <v>-72791.666666666672</v>
      </c>
      <c r="O26" s="12">
        <f t="shared" si="4"/>
        <v>0.8</v>
      </c>
      <c r="P26" s="11" t="str">
        <f>IF(Actuals_Monthly!B26="","",Actuals_Monthly!B26)</f>
        <v/>
      </c>
      <c r="Q26" s="11" t="str">
        <f>IF(OR(Actuals_Monthly!B26="",Actuals_Monthly!C26="",Actuals_Monthly!D26=""),"",Actuals_Monthly!B26-Actuals_Monthly!C26-Actuals_Monthly!D26)</f>
        <v/>
      </c>
      <c r="R26" s="11" t="str">
        <f t="shared" si="5"/>
        <v/>
      </c>
      <c r="S26" s="11" t="str">
        <f t="shared" si="6"/>
        <v/>
      </c>
      <c r="T26" s="10" t="str">
        <f t="shared" si="7"/>
        <v>أدخل الفعلي</v>
      </c>
      <c r="U26" s="17">
        <f t="shared" si="8"/>
        <v>0</v>
      </c>
    </row>
    <row r="27" spans="1:21" ht="24" customHeight="1">
      <c r="A27" s="10">
        <v>23</v>
      </c>
      <c r="B27" s="10" t="str">
        <f t="shared" si="0"/>
        <v>Q8</v>
      </c>
      <c r="C27" s="18">
        <f>C26*(1-Inputs!$C$15)+Inputs!$C$12</f>
        <v>11.5</v>
      </c>
      <c r="D27" s="18">
        <f>D26*(1-Inputs!$C$15)+Inputs!$C$13</f>
        <v>5.75</v>
      </c>
      <c r="E27" s="18">
        <f>E26*(1-Inputs!$C$15)+Inputs!$C$14</f>
        <v>0</v>
      </c>
      <c r="F27" s="18">
        <f t="shared" si="1"/>
        <v>17.25</v>
      </c>
      <c r="G27" s="11">
        <f>C27*Inputs!$C$6/12</f>
        <v>2395.8333333333335</v>
      </c>
      <c r="H27" s="11">
        <f>D27*Inputs!$C$7/12</f>
        <v>3593.75</v>
      </c>
      <c r="I27" s="11">
        <f>E27*Inputs!$C$8/12</f>
        <v>0</v>
      </c>
      <c r="J27" s="11">
        <f t="shared" si="2"/>
        <v>5989.5833333333339</v>
      </c>
      <c r="K27" s="11">
        <f>J27*Inputs!$C$16</f>
        <v>1197.9166666666667</v>
      </c>
      <c r="L27" s="11">
        <f>Inputs!$C$17</f>
        <v>4500</v>
      </c>
      <c r="M27" s="11">
        <f t="shared" si="3"/>
        <v>291.66666666666697</v>
      </c>
      <c r="N27" s="11">
        <f t="shared" si="9"/>
        <v>-72500</v>
      </c>
      <c r="O27" s="12">
        <f t="shared" si="4"/>
        <v>0.79999999999999993</v>
      </c>
      <c r="P27" s="11" t="str">
        <f>IF(Actuals_Monthly!B27="","",Actuals_Monthly!B27)</f>
        <v/>
      </c>
      <c r="Q27" s="11" t="str">
        <f>IF(OR(Actuals_Monthly!B27="",Actuals_Monthly!C27="",Actuals_Monthly!D27=""),"",Actuals_Monthly!B27-Actuals_Monthly!C27-Actuals_Monthly!D27)</f>
        <v/>
      </c>
      <c r="R27" s="11" t="str">
        <f t="shared" si="5"/>
        <v/>
      </c>
      <c r="S27" s="11" t="str">
        <f t="shared" si="6"/>
        <v/>
      </c>
      <c r="T27" s="10" t="str">
        <f t="shared" si="7"/>
        <v>أدخل الفعلي</v>
      </c>
      <c r="U27" s="17">
        <f t="shared" si="8"/>
        <v>0</v>
      </c>
    </row>
    <row r="28" spans="1:21" ht="24" customHeight="1">
      <c r="A28" s="10">
        <v>24</v>
      </c>
      <c r="B28" s="10" t="str">
        <f t="shared" si="0"/>
        <v>Q8</v>
      </c>
      <c r="C28" s="18">
        <f>C27*(1-Inputs!$C$15)+Inputs!$C$12</f>
        <v>12</v>
      </c>
      <c r="D28" s="18">
        <f>D27*(1-Inputs!$C$15)+Inputs!$C$13</f>
        <v>6</v>
      </c>
      <c r="E28" s="18">
        <f>E27*(1-Inputs!$C$15)+Inputs!$C$14</f>
        <v>0</v>
      </c>
      <c r="F28" s="18">
        <f t="shared" si="1"/>
        <v>18</v>
      </c>
      <c r="G28" s="11">
        <f>C28*Inputs!$C$6/12</f>
        <v>2500</v>
      </c>
      <c r="H28" s="11">
        <f>D28*Inputs!$C$7/12</f>
        <v>3750</v>
      </c>
      <c r="I28" s="11">
        <f>E28*Inputs!$C$8/12</f>
        <v>0</v>
      </c>
      <c r="J28" s="11">
        <f t="shared" si="2"/>
        <v>6250</v>
      </c>
      <c r="K28" s="11">
        <f>J28*Inputs!$C$16</f>
        <v>1250</v>
      </c>
      <c r="L28" s="11">
        <f>Inputs!$C$17</f>
        <v>4500</v>
      </c>
      <c r="M28" s="11">
        <f t="shared" si="3"/>
        <v>500</v>
      </c>
      <c r="N28" s="11">
        <f t="shared" si="9"/>
        <v>-72000</v>
      </c>
      <c r="O28" s="12">
        <f t="shared" si="4"/>
        <v>0.8</v>
      </c>
      <c r="P28" s="11" t="str">
        <f>IF(Actuals_Monthly!B28="","",Actuals_Monthly!B28)</f>
        <v/>
      </c>
      <c r="Q28" s="11" t="str">
        <f>IF(OR(Actuals_Monthly!B28="",Actuals_Monthly!C28="",Actuals_Monthly!D28=""),"",Actuals_Monthly!B28-Actuals_Monthly!C28-Actuals_Monthly!D28)</f>
        <v/>
      </c>
      <c r="R28" s="11" t="str">
        <f t="shared" si="5"/>
        <v/>
      </c>
      <c r="S28" s="11" t="str">
        <f t="shared" si="6"/>
        <v/>
      </c>
      <c r="T28" s="10" t="str">
        <f t="shared" si="7"/>
        <v>أدخل الفعلي</v>
      </c>
      <c r="U28" s="17">
        <f t="shared" si="8"/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3" style="1" customWidth="1"/>
    <col min="2" max="3" width="19" style="1" customWidth="1"/>
    <col min="4" max="4" width="3" style="1" customWidth="1"/>
    <col min="5" max="6" width="19" style="1" customWidth="1"/>
    <col min="7" max="7" width="3" style="1" customWidth="1"/>
    <col min="8" max="9" width="19" style="1" customWidth="1"/>
    <col min="10" max="10" width="3" style="1" customWidth="1"/>
    <col min="11" max="12" width="19" style="1" customWidth="1"/>
    <col min="13" max="13" width="3" style="1" customWidth="1"/>
  </cols>
  <sheetData>
    <row r="1" spans="1:12" ht="33.75" customHeight="1">
      <c r="A1" s="46" t="s">
        <v>119</v>
      </c>
      <c r="B1" s="45"/>
      <c r="C1" s="45"/>
      <c r="D1" s="45"/>
      <c r="E1" s="45"/>
      <c r="F1" s="45"/>
      <c r="G1" s="45"/>
      <c r="H1" s="45"/>
    </row>
    <row r="2" spans="1:12" ht="21.75" customHeight="1">
      <c r="A2" s="47" t="s">
        <v>120</v>
      </c>
      <c r="B2" s="45"/>
      <c r="C2" s="45"/>
      <c r="D2" s="45"/>
      <c r="E2" s="45"/>
      <c r="F2" s="45"/>
      <c r="G2" s="45"/>
      <c r="H2" s="45"/>
    </row>
    <row r="4" spans="1:12" ht="24.4" customHeight="1">
      <c r="B4" s="19" t="s">
        <v>25</v>
      </c>
      <c r="C4" s="20">
        <f>Inputs!$C$5</f>
        <v>26500</v>
      </c>
      <c r="E4" s="19" t="s">
        <v>121</v>
      </c>
      <c r="F4" s="21">
        <f>Monthly_Model!J16</f>
        <v>3125</v>
      </c>
      <c r="H4" s="19" t="s">
        <v>122</v>
      </c>
      <c r="I4" s="22">
        <f>Monthly_Model!M16</f>
        <v>-2000</v>
      </c>
      <c r="K4" s="19" t="s">
        <v>113</v>
      </c>
      <c r="L4" s="23">
        <f>Monthly_Model!O16</f>
        <v>0.8</v>
      </c>
    </row>
    <row r="8" spans="1:12" ht="24.4" customHeight="1">
      <c r="B8" s="19" t="s">
        <v>123</v>
      </c>
      <c r="C8" s="24">
        <f>Inputs!$C$17/(1-Inputs!$C$16)</f>
        <v>5625</v>
      </c>
      <c r="E8" s="19" t="s">
        <v>124</v>
      </c>
      <c r="F8" s="25">
        <f>IFERROR(C8/(Monthly_Model!J16/Monthly_Model!F16),"")</f>
        <v>16.2</v>
      </c>
      <c r="H8" s="19" t="s">
        <v>125</v>
      </c>
      <c r="I8" s="25" t="str">
        <f>IFERROR(INDEX(Monthly_Model!A5:A28,MATCH(1,Monthly_Model!U5:U28,0)),"غير محققة")</f>
        <v>غير محققة</v>
      </c>
      <c r="K8" s="19" t="s">
        <v>126</v>
      </c>
      <c r="L8" s="22">
        <f>Monthly_Model!N28</f>
        <v>-72000</v>
      </c>
    </row>
    <row r="12" spans="1:12" ht="17.45" customHeight="1">
      <c r="B12" s="26" t="s">
        <v>127</v>
      </c>
      <c r="H12" s="26" t="s">
        <v>128</v>
      </c>
    </row>
    <row r="13" spans="1:12" ht="31.5" customHeight="1">
      <c r="B13" s="27" t="s">
        <v>74</v>
      </c>
      <c r="C13" s="27" t="s">
        <v>129</v>
      </c>
      <c r="D13" s="27" t="s">
        <v>76</v>
      </c>
      <c r="E13" s="27" t="s">
        <v>77</v>
      </c>
      <c r="F13" s="27" t="s">
        <v>22</v>
      </c>
      <c r="H13" s="27" t="s">
        <v>130</v>
      </c>
      <c r="I13" s="27" t="s">
        <v>131</v>
      </c>
      <c r="J13" s="27" t="s">
        <v>76</v>
      </c>
      <c r="K13" s="27" t="s">
        <v>132</v>
      </c>
    </row>
    <row r="14" spans="1:12" ht="24" customHeight="1">
      <c r="B14" s="10" t="str">
        <f>Budget_Variance!A5</f>
        <v>بناء المنتج والنسخة التجريبية</v>
      </c>
      <c r="C14" s="11">
        <f>Budget_Variance!B5</f>
        <v>11925</v>
      </c>
      <c r="D14" s="11">
        <f>Budget_Variance!C5</f>
        <v>0</v>
      </c>
      <c r="E14" s="11" t="str">
        <f>Budget_Variance!D5</f>
        <v/>
      </c>
      <c r="F14" s="10" t="str">
        <f>Budget_Variance!F5</f>
        <v>أدخل الفعلي</v>
      </c>
      <c r="H14" s="6" t="s">
        <v>133</v>
      </c>
      <c r="I14" s="12">
        <f>Inputs!C19</f>
        <v>0.9</v>
      </c>
      <c r="J14" s="28"/>
      <c r="K14" s="12" t="str">
        <f>IF(J14="","",J14-I14)</f>
        <v/>
      </c>
    </row>
    <row r="15" spans="1:12" ht="24" customHeight="1">
      <c r="B15" s="10" t="str">
        <f>Budget_Variance!A6</f>
        <v>التكامل والأمان والامتثال التقني</v>
      </c>
      <c r="C15" s="11">
        <f>Budget_Variance!B6</f>
        <v>6625</v>
      </c>
      <c r="D15" s="11">
        <f>Budget_Variance!C6</f>
        <v>0</v>
      </c>
      <c r="E15" s="11" t="str">
        <f>Budget_Variance!D6</f>
        <v/>
      </c>
      <c r="F15" s="10" t="str">
        <f>Budget_Variance!F6</f>
        <v>أدخل الفعلي</v>
      </c>
      <c r="H15" s="6" t="s">
        <v>134</v>
      </c>
      <c r="I15" s="12">
        <f>Inputs!C20</f>
        <v>0.6</v>
      </c>
      <c r="J15" s="28"/>
      <c r="K15" s="12" t="str">
        <f>IF(J15="","",J15-I15)</f>
        <v/>
      </c>
    </row>
    <row r="16" spans="1:12" ht="24" customHeight="1">
      <c r="B16" s="10" t="str">
        <f>Budget_Variance!A7</f>
        <v>إثبات السوق وتجربة العملاء</v>
      </c>
      <c r="C16" s="11">
        <f>Budget_Variance!B7</f>
        <v>5300</v>
      </c>
      <c r="D16" s="11">
        <f>Budget_Variance!C7</f>
        <v>0</v>
      </c>
      <c r="E16" s="11" t="str">
        <f>Budget_Variance!D7</f>
        <v/>
      </c>
      <c r="F16" s="10" t="str">
        <f>Budget_Variance!F7</f>
        <v>أدخل الفعلي</v>
      </c>
    </row>
    <row r="17" spans="2:12" ht="24" customHeight="1">
      <c r="B17" s="10" t="str">
        <f>Budget_Variance!A8</f>
        <v>التشغيل والامتثال الإداري</v>
      </c>
      <c r="C17" s="11">
        <f>Budget_Variance!B8</f>
        <v>2650</v>
      </c>
      <c r="D17" s="11">
        <f>Budget_Variance!C8</f>
        <v>0</v>
      </c>
      <c r="E17" s="11" t="str">
        <f>Budget_Variance!D8</f>
        <v/>
      </c>
      <c r="F17" s="10" t="str">
        <f>Budget_Variance!F8</f>
        <v>أدخل الفعلي</v>
      </c>
    </row>
    <row r="20" spans="2:12" ht="17.45" customHeight="1">
      <c r="B20" s="26" t="s">
        <v>135</v>
      </c>
    </row>
    <row r="21" spans="2:12" ht="42" customHeight="1">
      <c r="B21" s="48" t="s">
        <v>136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2:12" ht="15" customHeight="1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</sheetData>
  <mergeCells count="3">
    <mergeCell ref="B21:L22"/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24" width="18" style="1" customWidth="1"/>
  </cols>
  <sheetData>
    <row r="1" spans="1:24" ht="31.5" customHeight="1">
      <c r="A1" s="29" t="s">
        <v>137</v>
      </c>
      <c r="B1" s="29" t="s">
        <v>138</v>
      </c>
      <c r="C1" s="29" t="s">
        <v>139</v>
      </c>
      <c r="D1" s="29" t="s">
        <v>140</v>
      </c>
      <c r="E1" s="29" t="s">
        <v>141</v>
      </c>
      <c r="F1" s="29" t="s">
        <v>142</v>
      </c>
      <c r="G1" s="29" t="s">
        <v>143</v>
      </c>
      <c r="H1" s="29" t="s">
        <v>144</v>
      </c>
      <c r="I1" s="29" t="s">
        <v>145</v>
      </c>
      <c r="J1" s="29" t="s">
        <v>146</v>
      </c>
      <c r="K1" s="29" t="s">
        <v>147</v>
      </c>
      <c r="L1" s="29" t="s">
        <v>148</v>
      </c>
      <c r="M1" s="29" t="s">
        <v>149</v>
      </c>
      <c r="N1" s="29" t="s">
        <v>150</v>
      </c>
      <c r="O1" s="29" t="s">
        <v>151</v>
      </c>
      <c r="P1" s="29" t="s">
        <v>152</v>
      </c>
      <c r="Q1" s="29" t="s">
        <v>153</v>
      </c>
      <c r="R1" s="29" t="s">
        <v>154</v>
      </c>
      <c r="S1" s="29" t="s">
        <v>155</v>
      </c>
      <c r="T1" s="29" t="s">
        <v>156</v>
      </c>
      <c r="U1" s="29" t="s">
        <v>157</v>
      </c>
      <c r="V1" s="29" t="s">
        <v>158</v>
      </c>
      <c r="W1" s="29" t="s">
        <v>159</v>
      </c>
      <c r="X1" s="29" t="s">
        <v>160</v>
      </c>
    </row>
    <row r="2" spans="1:24" ht="15" customHeight="1">
      <c r="A2" s="17">
        <v>1</v>
      </c>
      <c r="B2" s="17" t="s">
        <v>161</v>
      </c>
      <c r="C2" s="17">
        <v>0.5</v>
      </c>
      <c r="D2" s="17">
        <v>0.25</v>
      </c>
      <c r="E2" s="17">
        <v>0</v>
      </c>
      <c r="F2" s="17">
        <v>0.75</v>
      </c>
      <c r="G2" s="30">
        <v>104.166666666667</v>
      </c>
      <c r="H2" s="30">
        <v>156.25</v>
      </c>
      <c r="I2" s="30">
        <v>0</v>
      </c>
      <c r="J2" s="30">
        <v>260.41666666666703</v>
      </c>
      <c r="K2" s="30">
        <v>52.0833333333333</v>
      </c>
      <c r="L2" s="30">
        <v>4500</v>
      </c>
      <c r="M2" s="30">
        <v>-4291.6666666666697</v>
      </c>
      <c r="N2" s="30">
        <v>-30791.666666666701</v>
      </c>
      <c r="O2" s="31">
        <v>0.8</v>
      </c>
      <c r="P2" s="30"/>
      <c r="Q2" s="30"/>
      <c r="R2" s="30"/>
      <c r="S2" s="30"/>
      <c r="T2" s="30"/>
      <c r="U2" s="30"/>
      <c r="V2" s="17"/>
      <c r="W2" s="31">
        <v>0.9</v>
      </c>
      <c r="X2" s="31">
        <v>0.6</v>
      </c>
    </row>
    <row r="3" spans="1:24" ht="15" customHeight="1">
      <c r="A3" s="17">
        <v>2</v>
      </c>
      <c r="B3" s="17" t="s">
        <v>161</v>
      </c>
      <c r="C3" s="17">
        <v>1</v>
      </c>
      <c r="D3" s="17">
        <v>0.5</v>
      </c>
      <c r="E3" s="17">
        <v>0</v>
      </c>
      <c r="F3" s="17">
        <v>1.5</v>
      </c>
      <c r="G3" s="30">
        <v>208.333333333333</v>
      </c>
      <c r="H3" s="30">
        <v>312.5</v>
      </c>
      <c r="I3" s="30">
        <v>0</v>
      </c>
      <c r="J3" s="30">
        <v>520.83333333333303</v>
      </c>
      <c r="K3" s="30">
        <v>104.166666666667</v>
      </c>
      <c r="L3" s="30">
        <v>4500</v>
      </c>
      <c r="M3" s="30">
        <v>-4083.3333333333298</v>
      </c>
      <c r="N3" s="30">
        <v>-34875</v>
      </c>
      <c r="O3" s="31">
        <v>0.8</v>
      </c>
      <c r="P3" s="30"/>
      <c r="Q3" s="30"/>
      <c r="R3" s="30"/>
      <c r="S3" s="30"/>
      <c r="T3" s="30"/>
      <c r="U3" s="30"/>
      <c r="V3" s="17"/>
      <c r="W3" s="31">
        <v>0.9</v>
      </c>
      <c r="X3" s="31">
        <v>0.6</v>
      </c>
    </row>
    <row r="4" spans="1:24" ht="15" customHeight="1">
      <c r="A4" s="17">
        <v>3</v>
      </c>
      <c r="B4" s="17" t="s">
        <v>161</v>
      </c>
      <c r="C4" s="17">
        <v>1.5</v>
      </c>
      <c r="D4" s="17">
        <v>0.75</v>
      </c>
      <c r="E4" s="17">
        <v>0</v>
      </c>
      <c r="F4" s="17">
        <v>2.25</v>
      </c>
      <c r="G4" s="30">
        <v>312.5</v>
      </c>
      <c r="H4" s="30">
        <v>468.75</v>
      </c>
      <c r="I4" s="30">
        <v>0</v>
      </c>
      <c r="J4" s="30">
        <v>781.25</v>
      </c>
      <c r="K4" s="30">
        <v>156.25</v>
      </c>
      <c r="L4" s="30">
        <v>4500</v>
      </c>
      <c r="M4" s="30">
        <v>-3875</v>
      </c>
      <c r="N4" s="30">
        <v>-38750</v>
      </c>
      <c r="O4" s="31">
        <v>0.8</v>
      </c>
      <c r="P4" s="30"/>
      <c r="Q4" s="30"/>
      <c r="R4" s="30"/>
      <c r="S4" s="30"/>
      <c r="T4" s="30"/>
      <c r="U4" s="30"/>
      <c r="V4" s="17"/>
      <c r="W4" s="31">
        <v>0.9</v>
      </c>
      <c r="X4" s="31">
        <v>0.6</v>
      </c>
    </row>
    <row r="5" spans="1:24" ht="15" customHeight="1">
      <c r="A5" s="17">
        <v>4</v>
      </c>
      <c r="B5" s="17" t="s">
        <v>162</v>
      </c>
      <c r="C5" s="17">
        <v>2</v>
      </c>
      <c r="D5" s="17">
        <v>1</v>
      </c>
      <c r="E5" s="17">
        <v>0</v>
      </c>
      <c r="F5" s="17">
        <v>3</v>
      </c>
      <c r="G5" s="30">
        <v>416.66666666666703</v>
      </c>
      <c r="H5" s="30">
        <v>625</v>
      </c>
      <c r="I5" s="30">
        <v>0</v>
      </c>
      <c r="J5" s="30">
        <v>1041.6666666666699</v>
      </c>
      <c r="K5" s="30">
        <v>208.333333333333</v>
      </c>
      <c r="L5" s="30">
        <v>4500</v>
      </c>
      <c r="M5" s="30">
        <v>-3666.6666666666702</v>
      </c>
      <c r="N5" s="30">
        <v>-42416.666666666701</v>
      </c>
      <c r="O5" s="31">
        <v>0.8</v>
      </c>
      <c r="P5" s="30"/>
      <c r="Q5" s="30"/>
      <c r="R5" s="30"/>
      <c r="S5" s="30"/>
      <c r="T5" s="30"/>
      <c r="U5" s="30"/>
      <c r="V5" s="17"/>
      <c r="W5" s="31">
        <v>0.9</v>
      </c>
      <c r="X5" s="31">
        <v>0.6</v>
      </c>
    </row>
    <row r="6" spans="1:24" ht="15" customHeight="1">
      <c r="A6" s="17">
        <v>5</v>
      </c>
      <c r="B6" s="17" t="s">
        <v>162</v>
      </c>
      <c r="C6" s="17">
        <v>2.5</v>
      </c>
      <c r="D6" s="17">
        <v>1.25</v>
      </c>
      <c r="E6" s="17">
        <v>0</v>
      </c>
      <c r="F6" s="17">
        <v>3.75</v>
      </c>
      <c r="G6" s="30">
        <v>520.83333333333303</v>
      </c>
      <c r="H6" s="30">
        <v>781.25</v>
      </c>
      <c r="I6" s="30">
        <v>0</v>
      </c>
      <c r="J6" s="30">
        <v>1302.0833333333301</v>
      </c>
      <c r="K6" s="30">
        <v>260.41666666666703</v>
      </c>
      <c r="L6" s="30">
        <v>4500</v>
      </c>
      <c r="M6" s="30">
        <v>-3458.3333333333298</v>
      </c>
      <c r="N6" s="30">
        <v>-45875</v>
      </c>
      <c r="O6" s="31">
        <v>0.8</v>
      </c>
      <c r="P6" s="30"/>
      <c r="Q6" s="30"/>
      <c r="R6" s="30"/>
      <c r="S6" s="30"/>
      <c r="T6" s="30"/>
      <c r="U6" s="30"/>
      <c r="V6" s="17"/>
      <c r="W6" s="31">
        <v>0.9</v>
      </c>
      <c r="X6" s="31">
        <v>0.6</v>
      </c>
    </row>
    <row r="7" spans="1:24" ht="15" customHeight="1">
      <c r="A7" s="17">
        <v>6</v>
      </c>
      <c r="B7" s="17" t="s">
        <v>162</v>
      </c>
      <c r="C7" s="17">
        <v>3</v>
      </c>
      <c r="D7" s="17">
        <v>1.5</v>
      </c>
      <c r="E7" s="17">
        <v>0</v>
      </c>
      <c r="F7" s="17">
        <v>4.5</v>
      </c>
      <c r="G7" s="30">
        <v>625</v>
      </c>
      <c r="H7" s="30">
        <v>937.5</v>
      </c>
      <c r="I7" s="30">
        <v>0</v>
      </c>
      <c r="J7" s="30">
        <v>1562.5</v>
      </c>
      <c r="K7" s="30">
        <v>312.5</v>
      </c>
      <c r="L7" s="30">
        <v>4500</v>
      </c>
      <c r="M7" s="30">
        <v>-3250</v>
      </c>
      <c r="N7" s="30">
        <v>-49125</v>
      </c>
      <c r="O7" s="31">
        <v>0.8</v>
      </c>
      <c r="P7" s="30"/>
      <c r="Q7" s="30"/>
      <c r="R7" s="30"/>
      <c r="S7" s="30"/>
      <c r="T7" s="30"/>
      <c r="U7" s="30"/>
      <c r="V7" s="17"/>
      <c r="W7" s="31">
        <v>0.9</v>
      </c>
      <c r="X7" s="31">
        <v>0.6</v>
      </c>
    </row>
    <row r="8" spans="1:24" ht="15" customHeight="1">
      <c r="A8" s="17">
        <v>7</v>
      </c>
      <c r="B8" s="17" t="s">
        <v>163</v>
      </c>
      <c r="C8" s="17">
        <v>3.5</v>
      </c>
      <c r="D8" s="17">
        <v>1.75</v>
      </c>
      <c r="E8" s="17">
        <v>0</v>
      </c>
      <c r="F8" s="17">
        <v>5.25</v>
      </c>
      <c r="G8" s="30">
        <v>729.16666666666697</v>
      </c>
      <c r="H8" s="30">
        <v>1093.75</v>
      </c>
      <c r="I8" s="30">
        <v>0</v>
      </c>
      <c r="J8" s="30">
        <v>1822.9166666666699</v>
      </c>
      <c r="K8" s="30">
        <v>364.58333333333297</v>
      </c>
      <c r="L8" s="30">
        <v>4500</v>
      </c>
      <c r="M8" s="30">
        <v>-3041.6666666666702</v>
      </c>
      <c r="N8" s="30">
        <v>-52166.666666666701</v>
      </c>
      <c r="O8" s="31">
        <v>0.8</v>
      </c>
      <c r="P8" s="30"/>
      <c r="Q8" s="30"/>
      <c r="R8" s="30"/>
      <c r="S8" s="30"/>
      <c r="T8" s="30"/>
      <c r="U8" s="30"/>
      <c r="V8" s="17"/>
      <c r="W8" s="31">
        <v>0.9</v>
      </c>
      <c r="X8" s="31">
        <v>0.6</v>
      </c>
    </row>
    <row r="9" spans="1:24" ht="15" customHeight="1">
      <c r="A9" s="17">
        <v>8</v>
      </c>
      <c r="B9" s="17" t="s">
        <v>163</v>
      </c>
      <c r="C9" s="17">
        <v>4</v>
      </c>
      <c r="D9" s="17">
        <v>2</v>
      </c>
      <c r="E9" s="17">
        <v>0</v>
      </c>
      <c r="F9" s="17">
        <v>6</v>
      </c>
      <c r="G9" s="30">
        <v>833.33333333333303</v>
      </c>
      <c r="H9" s="30">
        <v>1250</v>
      </c>
      <c r="I9" s="30">
        <v>0</v>
      </c>
      <c r="J9" s="30">
        <v>2083.3333333333298</v>
      </c>
      <c r="K9" s="30">
        <v>416.66666666666703</v>
      </c>
      <c r="L9" s="30">
        <v>4500</v>
      </c>
      <c r="M9" s="30">
        <v>-2833.3333333333298</v>
      </c>
      <c r="N9" s="30">
        <v>-55000</v>
      </c>
      <c r="O9" s="31">
        <v>0.8</v>
      </c>
      <c r="P9" s="30"/>
      <c r="Q9" s="30"/>
      <c r="R9" s="30"/>
      <c r="S9" s="30"/>
      <c r="T9" s="30"/>
      <c r="U9" s="30"/>
      <c r="V9" s="17"/>
      <c r="W9" s="31">
        <v>0.9</v>
      </c>
      <c r="X9" s="31">
        <v>0.6</v>
      </c>
    </row>
    <row r="10" spans="1:24" ht="15" customHeight="1">
      <c r="A10" s="17">
        <v>9</v>
      </c>
      <c r="B10" s="17" t="s">
        <v>163</v>
      </c>
      <c r="C10" s="17">
        <v>4.5</v>
      </c>
      <c r="D10" s="17">
        <v>2.25</v>
      </c>
      <c r="E10" s="17">
        <v>0</v>
      </c>
      <c r="F10" s="17">
        <v>6.75</v>
      </c>
      <c r="G10" s="30">
        <v>937.5</v>
      </c>
      <c r="H10" s="30">
        <v>1406.25</v>
      </c>
      <c r="I10" s="30">
        <v>0</v>
      </c>
      <c r="J10" s="30">
        <v>2343.75</v>
      </c>
      <c r="K10" s="30">
        <v>468.75</v>
      </c>
      <c r="L10" s="30">
        <v>4500</v>
      </c>
      <c r="M10" s="30">
        <v>-2625</v>
      </c>
      <c r="N10" s="30">
        <v>-57625</v>
      </c>
      <c r="O10" s="31">
        <v>0.8</v>
      </c>
      <c r="P10" s="30"/>
      <c r="Q10" s="30"/>
      <c r="R10" s="30"/>
      <c r="S10" s="30"/>
      <c r="T10" s="30"/>
      <c r="U10" s="30"/>
      <c r="V10" s="17"/>
      <c r="W10" s="31">
        <v>0.9</v>
      </c>
      <c r="X10" s="31">
        <v>0.6</v>
      </c>
    </row>
    <row r="11" spans="1:24" ht="15" customHeight="1">
      <c r="A11" s="17">
        <v>10</v>
      </c>
      <c r="B11" s="17" t="s">
        <v>164</v>
      </c>
      <c r="C11" s="17">
        <v>5</v>
      </c>
      <c r="D11" s="17">
        <v>2.5</v>
      </c>
      <c r="E11" s="17">
        <v>0</v>
      </c>
      <c r="F11" s="17">
        <v>7.5</v>
      </c>
      <c r="G11" s="30">
        <v>1041.6666666666699</v>
      </c>
      <c r="H11" s="30">
        <v>1562.5</v>
      </c>
      <c r="I11" s="30">
        <v>0</v>
      </c>
      <c r="J11" s="30">
        <v>2604.1666666666702</v>
      </c>
      <c r="K11" s="30">
        <v>520.83333333333303</v>
      </c>
      <c r="L11" s="30">
        <v>4500</v>
      </c>
      <c r="M11" s="30">
        <v>-2416.6666666666702</v>
      </c>
      <c r="N11" s="30">
        <v>-60041.666666666701</v>
      </c>
      <c r="O11" s="31">
        <v>0.8</v>
      </c>
      <c r="P11" s="30"/>
      <c r="Q11" s="30"/>
      <c r="R11" s="30"/>
      <c r="S11" s="30"/>
      <c r="T11" s="30"/>
      <c r="U11" s="30"/>
      <c r="V11" s="17"/>
      <c r="W11" s="31">
        <v>0.9</v>
      </c>
      <c r="X11" s="31">
        <v>0.6</v>
      </c>
    </row>
    <row r="12" spans="1:24" ht="15" customHeight="1">
      <c r="A12" s="17">
        <v>11</v>
      </c>
      <c r="B12" s="17" t="s">
        <v>164</v>
      </c>
      <c r="C12" s="17">
        <v>5.5</v>
      </c>
      <c r="D12" s="17">
        <v>2.75</v>
      </c>
      <c r="E12" s="17">
        <v>0</v>
      </c>
      <c r="F12" s="17">
        <v>8.25</v>
      </c>
      <c r="G12" s="30">
        <v>1145.8333333333301</v>
      </c>
      <c r="H12" s="30">
        <v>1718.75</v>
      </c>
      <c r="I12" s="30">
        <v>0</v>
      </c>
      <c r="J12" s="30">
        <v>2864.5833333333298</v>
      </c>
      <c r="K12" s="30">
        <v>572.91666666666697</v>
      </c>
      <c r="L12" s="30">
        <v>4500</v>
      </c>
      <c r="M12" s="30">
        <v>-2208.3333333333298</v>
      </c>
      <c r="N12" s="30">
        <v>-62250</v>
      </c>
      <c r="O12" s="31">
        <v>0.8</v>
      </c>
      <c r="P12" s="30"/>
      <c r="Q12" s="30"/>
      <c r="R12" s="30"/>
      <c r="S12" s="30"/>
      <c r="T12" s="30"/>
      <c r="U12" s="30"/>
      <c r="V12" s="17"/>
      <c r="W12" s="31">
        <v>0.9</v>
      </c>
      <c r="X12" s="31">
        <v>0.6</v>
      </c>
    </row>
    <row r="13" spans="1:24" ht="15" customHeight="1">
      <c r="A13" s="17">
        <v>12</v>
      </c>
      <c r="B13" s="17" t="s">
        <v>164</v>
      </c>
      <c r="C13" s="17">
        <v>6</v>
      </c>
      <c r="D13" s="17">
        <v>3</v>
      </c>
      <c r="E13" s="17">
        <v>0</v>
      </c>
      <c r="F13" s="17">
        <v>9</v>
      </c>
      <c r="G13" s="30">
        <v>1250</v>
      </c>
      <c r="H13" s="30">
        <v>1875</v>
      </c>
      <c r="I13" s="30">
        <v>0</v>
      </c>
      <c r="J13" s="30">
        <v>3125</v>
      </c>
      <c r="K13" s="30">
        <v>625</v>
      </c>
      <c r="L13" s="30">
        <v>4500</v>
      </c>
      <c r="M13" s="30">
        <v>-2000</v>
      </c>
      <c r="N13" s="30">
        <v>-64250</v>
      </c>
      <c r="O13" s="31">
        <v>0.8</v>
      </c>
      <c r="P13" s="30"/>
      <c r="Q13" s="30"/>
      <c r="R13" s="30"/>
      <c r="S13" s="30"/>
      <c r="T13" s="30"/>
      <c r="U13" s="30"/>
      <c r="V13" s="17"/>
      <c r="W13" s="31">
        <v>0.9</v>
      </c>
      <c r="X13" s="31">
        <v>0.6</v>
      </c>
    </row>
    <row r="14" spans="1:24" ht="15" customHeight="1">
      <c r="A14" s="17">
        <v>13</v>
      </c>
      <c r="B14" s="17" t="s">
        <v>165</v>
      </c>
      <c r="C14" s="17">
        <v>6.5</v>
      </c>
      <c r="D14" s="17">
        <v>3.25</v>
      </c>
      <c r="E14" s="17">
        <v>0</v>
      </c>
      <c r="F14" s="17">
        <v>9.75</v>
      </c>
      <c r="G14" s="30">
        <v>1354.1666666666699</v>
      </c>
      <c r="H14" s="30">
        <v>2031.25</v>
      </c>
      <c r="I14" s="30">
        <v>0</v>
      </c>
      <c r="J14" s="30">
        <v>3385.4166666666702</v>
      </c>
      <c r="K14" s="30">
        <v>677.08333333333405</v>
      </c>
      <c r="L14" s="30">
        <v>4500</v>
      </c>
      <c r="M14" s="30">
        <v>-1791.6666666666699</v>
      </c>
      <c r="N14" s="30">
        <v>-66041.666666666701</v>
      </c>
      <c r="O14" s="31">
        <v>0.8</v>
      </c>
      <c r="P14" s="30"/>
      <c r="Q14" s="30"/>
      <c r="R14" s="30"/>
      <c r="S14" s="30"/>
      <c r="T14" s="30"/>
      <c r="U14" s="30"/>
      <c r="V14" s="17"/>
      <c r="W14" s="31">
        <v>0.9</v>
      </c>
      <c r="X14" s="31">
        <v>0.6</v>
      </c>
    </row>
    <row r="15" spans="1:24" ht="15" customHeight="1">
      <c r="A15" s="17">
        <v>14</v>
      </c>
      <c r="B15" s="17" t="s">
        <v>165</v>
      </c>
      <c r="C15" s="17">
        <v>7</v>
      </c>
      <c r="D15" s="17">
        <v>3.5</v>
      </c>
      <c r="E15" s="17">
        <v>0</v>
      </c>
      <c r="F15" s="17">
        <v>10.5</v>
      </c>
      <c r="G15" s="30">
        <v>1458.3333333333301</v>
      </c>
      <c r="H15" s="30">
        <v>2187.5</v>
      </c>
      <c r="I15" s="30">
        <v>0</v>
      </c>
      <c r="J15" s="30">
        <v>3645.8333333333298</v>
      </c>
      <c r="K15" s="30">
        <v>729.16666666666697</v>
      </c>
      <c r="L15" s="30">
        <v>4500</v>
      </c>
      <c r="M15" s="30">
        <v>-1583.3333333333301</v>
      </c>
      <c r="N15" s="30">
        <v>-67625</v>
      </c>
      <c r="O15" s="31">
        <v>0.8</v>
      </c>
      <c r="P15" s="30"/>
      <c r="Q15" s="30"/>
      <c r="R15" s="30"/>
      <c r="S15" s="30"/>
      <c r="T15" s="30"/>
      <c r="U15" s="30"/>
      <c r="V15" s="17"/>
      <c r="W15" s="31">
        <v>0.9</v>
      </c>
      <c r="X15" s="31">
        <v>0.6</v>
      </c>
    </row>
    <row r="16" spans="1:24" ht="15" customHeight="1">
      <c r="A16" s="17">
        <v>15</v>
      </c>
      <c r="B16" s="17" t="s">
        <v>165</v>
      </c>
      <c r="C16" s="17">
        <v>7.5</v>
      </c>
      <c r="D16" s="17">
        <v>3.75</v>
      </c>
      <c r="E16" s="17">
        <v>0</v>
      </c>
      <c r="F16" s="17">
        <v>11.25</v>
      </c>
      <c r="G16" s="30">
        <v>1562.5</v>
      </c>
      <c r="H16" s="30">
        <v>2343.75</v>
      </c>
      <c r="I16" s="30">
        <v>0</v>
      </c>
      <c r="J16" s="30">
        <v>3906.25</v>
      </c>
      <c r="K16" s="30">
        <v>781.25</v>
      </c>
      <c r="L16" s="30">
        <v>4500</v>
      </c>
      <c r="M16" s="30">
        <v>-1375</v>
      </c>
      <c r="N16" s="30">
        <v>-69000</v>
      </c>
      <c r="O16" s="31">
        <v>0.8</v>
      </c>
      <c r="P16" s="30"/>
      <c r="Q16" s="30"/>
      <c r="R16" s="30"/>
      <c r="S16" s="30"/>
      <c r="T16" s="30"/>
      <c r="U16" s="30"/>
      <c r="V16" s="17"/>
      <c r="W16" s="31">
        <v>0.9</v>
      </c>
      <c r="X16" s="31">
        <v>0.6</v>
      </c>
    </row>
    <row r="17" spans="1:24" ht="15" customHeight="1">
      <c r="A17" s="17">
        <v>16</v>
      </c>
      <c r="B17" s="17" t="s">
        <v>166</v>
      </c>
      <c r="C17" s="17">
        <v>8</v>
      </c>
      <c r="D17" s="17">
        <v>4</v>
      </c>
      <c r="E17" s="17">
        <v>0</v>
      </c>
      <c r="F17" s="17">
        <v>12</v>
      </c>
      <c r="G17" s="30">
        <v>1666.6666666666699</v>
      </c>
      <c r="H17" s="30">
        <v>2500</v>
      </c>
      <c r="I17" s="30">
        <v>0</v>
      </c>
      <c r="J17" s="30">
        <v>4166.6666666666697</v>
      </c>
      <c r="K17" s="30">
        <v>833.33333333333405</v>
      </c>
      <c r="L17" s="30">
        <v>4500</v>
      </c>
      <c r="M17" s="30">
        <v>-1166.6666666666699</v>
      </c>
      <c r="N17" s="30">
        <v>-70166.666666666701</v>
      </c>
      <c r="O17" s="31">
        <v>0.8</v>
      </c>
      <c r="P17" s="30"/>
      <c r="Q17" s="30"/>
      <c r="R17" s="30"/>
      <c r="S17" s="30"/>
      <c r="T17" s="30"/>
      <c r="U17" s="30"/>
      <c r="V17" s="17"/>
      <c r="W17" s="31">
        <v>0.9</v>
      </c>
      <c r="X17" s="31">
        <v>0.6</v>
      </c>
    </row>
    <row r="18" spans="1:24" ht="15" customHeight="1">
      <c r="A18" s="17">
        <v>17</v>
      </c>
      <c r="B18" s="17" t="s">
        <v>166</v>
      </c>
      <c r="C18" s="17">
        <v>8.5</v>
      </c>
      <c r="D18" s="17">
        <v>4.25</v>
      </c>
      <c r="E18" s="17">
        <v>0</v>
      </c>
      <c r="F18" s="17">
        <v>12.75</v>
      </c>
      <c r="G18" s="30">
        <v>1770.8333333333301</v>
      </c>
      <c r="H18" s="30">
        <v>2656.25</v>
      </c>
      <c r="I18" s="30">
        <v>0</v>
      </c>
      <c r="J18" s="30">
        <v>4427.0833333333303</v>
      </c>
      <c r="K18" s="30">
        <v>885.41666666666697</v>
      </c>
      <c r="L18" s="30">
        <v>4500</v>
      </c>
      <c r="M18" s="30">
        <v>-958.33333333333405</v>
      </c>
      <c r="N18" s="30">
        <v>-71125</v>
      </c>
      <c r="O18" s="31">
        <v>0.8</v>
      </c>
      <c r="P18" s="30"/>
      <c r="Q18" s="30"/>
      <c r="R18" s="30"/>
      <c r="S18" s="30"/>
      <c r="T18" s="30"/>
      <c r="U18" s="30"/>
      <c r="V18" s="17"/>
      <c r="W18" s="31">
        <v>0.9</v>
      </c>
      <c r="X18" s="31">
        <v>0.6</v>
      </c>
    </row>
    <row r="19" spans="1:24" ht="15" customHeight="1">
      <c r="A19" s="17">
        <v>18</v>
      </c>
      <c r="B19" s="17" t="s">
        <v>166</v>
      </c>
      <c r="C19" s="17">
        <v>9</v>
      </c>
      <c r="D19" s="17">
        <v>4.5</v>
      </c>
      <c r="E19" s="17">
        <v>0</v>
      </c>
      <c r="F19" s="17">
        <v>13.5</v>
      </c>
      <c r="G19" s="30">
        <v>1875</v>
      </c>
      <c r="H19" s="30">
        <v>2812.5</v>
      </c>
      <c r="I19" s="30">
        <v>0</v>
      </c>
      <c r="J19" s="30">
        <v>4687.5</v>
      </c>
      <c r="K19" s="30">
        <v>937.5</v>
      </c>
      <c r="L19" s="30">
        <v>4500</v>
      </c>
      <c r="M19" s="30">
        <v>-750</v>
      </c>
      <c r="N19" s="30">
        <v>-71875</v>
      </c>
      <c r="O19" s="31">
        <v>0.8</v>
      </c>
      <c r="P19" s="30"/>
      <c r="Q19" s="30"/>
      <c r="R19" s="30"/>
      <c r="S19" s="30"/>
      <c r="T19" s="30"/>
      <c r="U19" s="30"/>
      <c r="V19" s="17"/>
      <c r="W19" s="31">
        <v>0.9</v>
      </c>
      <c r="X19" s="31">
        <v>0.6</v>
      </c>
    </row>
    <row r="20" spans="1:24" ht="15" customHeight="1">
      <c r="A20" s="17">
        <v>19</v>
      </c>
      <c r="B20" s="17" t="s">
        <v>167</v>
      </c>
      <c r="C20" s="17">
        <v>9.5</v>
      </c>
      <c r="D20" s="17">
        <v>4.75</v>
      </c>
      <c r="E20" s="17">
        <v>0</v>
      </c>
      <c r="F20" s="17">
        <v>14.25</v>
      </c>
      <c r="G20" s="30">
        <v>1979.1666666666699</v>
      </c>
      <c r="H20" s="30">
        <v>2968.75</v>
      </c>
      <c r="I20" s="30">
        <v>0</v>
      </c>
      <c r="J20" s="30">
        <v>4947.9166666666697</v>
      </c>
      <c r="K20" s="30">
        <v>989.58333333333405</v>
      </c>
      <c r="L20" s="30">
        <v>4500</v>
      </c>
      <c r="M20" s="30">
        <v>-541.66666666666697</v>
      </c>
      <c r="N20" s="30">
        <v>-72416.666666666701</v>
      </c>
      <c r="O20" s="31">
        <v>0.8</v>
      </c>
      <c r="P20" s="30"/>
      <c r="Q20" s="30"/>
      <c r="R20" s="30"/>
      <c r="S20" s="30"/>
      <c r="T20" s="30"/>
      <c r="U20" s="30"/>
      <c r="V20" s="17"/>
      <c r="W20" s="31">
        <v>0.9</v>
      </c>
      <c r="X20" s="31">
        <v>0.6</v>
      </c>
    </row>
    <row r="21" spans="1:24" ht="15" customHeight="1">
      <c r="A21" s="17">
        <v>20</v>
      </c>
      <c r="B21" s="17" t="s">
        <v>167</v>
      </c>
      <c r="C21" s="17">
        <v>10</v>
      </c>
      <c r="D21" s="17">
        <v>5</v>
      </c>
      <c r="E21" s="17">
        <v>0</v>
      </c>
      <c r="F21" s="17">
        <v>15</v>
      </c>
      <c r="G21" s="30">
        <v>2083.3333333333298</v>
      </c>
      <c r="H21" s="30">
        <v>3125</v>
      </c>
      <c r="I21" s="30">
        <v>0</v>
      </c>
      <c r="J21" s="30">
        <v>5208.3333333333303</v>
      </c>
      <c r="K21" s="30">
        <v>1041.6666666666699</v>
      </c>
      <c r="L21" s="30">
        <v>4500</v>
      </c>
      <c r="M21" s="30">
        <v>-333.33333333333297</v>
      </c>
      <c r="N21" s="30">
        <v>-72750</v>
      </c>
      <c r="O21" s="31">
        <v>0.8</v>
      </c>
      <c r="P21" s="30"/>
      <c r="Q21" s="30"/>
      <c r="R21" s="30"/>
      <c r="S21" s="30"/>
      <c r="T21" s="30"/>
      <c r="U21" s="30"/>
      <c r="V21" s="17"/>
      <c r="W21" s="31">
        <v>0.9</v>
      </c>
      <c r="X21" s="31">
        <v>0.6</v>
      </c>
    </row>
    <row r="22" spans="1:24" ht="15" customHeight="1">
      <c r="A22" s="17">
        <v>21</v>
      </c>
      <c r="B22" s="17" t="s">
        <v>167</v>
      </c>
      <c r="C22" s="17">
        <v>10.5</v>
      </c>
      <c r="D22" s="17">
        <v>5.25</v>
      </c>
      <c r="E22" s="17">
        <v>0</v>
      </c>
      <c r="F22" s="17">
        <v>15.75</v>
      </c>
      <c r="G22" s="30">
        <v>2187.5</v>
      </c>
      <c r="H22" s="30">
        <v>3281.25</v>
      </c>
      <c r="I22" s="30">
        <v>0</v>
      </c>
      <c r="J22" s="30">
        <v>5468.75</v>
      </c>
      <c r="K22" s="30">
        <v>1093.75</v>
      </c>
      <c r="L22" s="30">
        <v>4500</v>
      </c>
      <c r="M22" s="30">
        <v>-125</v>
      </c>
      <c r="N22" s="30">
        <v>-72875</v>
      </c>
      <c r="O22" s="31">
        <v>0.8</v>
      </c>
      <c r="P22" s="30"/>
      <c r="Q22" s="30"/>
      <c r="R22" s="30"/>
      <c r="S22" s="30"/>
      <c r="T22" s="30"/>
      <c r="U22" s="30"/>
      <c r="V22" s="17"/>
      <c r="W22" s="31">
        <v>0.9</v>
      </c>
      <c r="X22" s="31">
        <v>0.6</v>
      </c>
    </row>
    <row r="23" spans="1:24" ht="15" customHeight="1">
      <c r="A23" s="17">
        <v>22</v>
      </c>
      <c r="B23" s="17" t="s">
        <v>168</v>
      </c>
      <c r="C23" s="17">
        <v>11</v>
      </c>
      <c r="D23" s="17">
        <v>5.5</v>
      </c>
      <c r="E23" s="17">
        <v>0</v>
      </c>
      <c r="F23" s="17">
        <v>16.5</v>
      </c>
      <c r="G23" s="30">
        <v>2291.6666666666702</v>
      </c>
      <c r="H23" s="30">
        <v>3437.5</v>
      </c>
      <c r="I23" s="30">
        <v>0</v>
      </c>
      <c r="J23" s="30">
        <v>5729.1666666666697</v>
      </c>
      <c r="K23" s="30">
        <v>1145.8333333333301</v>
      </c>
      <c r="L23" s="30">
        <v>4500</v>
      </c>
      <c r="M23" s="30">
        <v>83.333333333333002</v>
      </c>
      <c r="N23" s="30">
        <v>-72791.666666666701</v>
      </c>
      <c r="O23" s="31">
        <v>0.8</v>
      </c>
      <c r="P23" s="30"/>
      <c r="Q23" s="30"/>
      <c r="R23" s="30"/>
      <c r="S23" s="30"/>
      <c r="T23" s="30"/>
      <c r="U23" s="30"/>
      <c r="V23" s="17"/>
      <c r="W23" s="31">
        <v>0.9</v>
      </c>
      <c r="X23" s="31">
        <v>0.6</v>
      </c>
    </row>
    <row r="24" spans="1:24" ht="15" customHeight="1">
      <c r="A24" s="17">
        <v>23</v>
      </c>
      <c r="B24" s="17" t="s">
        <v>168</v>
      </c>
      <c r="C24" s="17">
        <v>11.5</v>
      </c>
      <c r="D24" s="17">
        <v>5.75</v>
      </c>
      <c r="E24" s="17">
        <v>0</v>
      </c>
      <c r="F24" s="17">
        <v>17.25</v>
      </c>
      <c r="G24" s="30">
        <v>2395.8333333333298</v>
      </c>
      <c r="H24" s="30">
        <v>3593.75</v>
      </c>
      <c r="I24" s="30">
        <v>0</v>
      </c>
      <c r="J24" s="30">
        <v>5989.5833333333303</v>
      </c>
      <c r="K24" s="30">
        <v>1197.9166666666699</v>
      </c>
      <c r="L24" s="30">
        <v>4500</v>
      </c>
      <c r="M24" s="30">
        <v>291.66666666666703</v>
      </c>
      <c r="N24" s="30">
        <v>-72500</v>
      </c>
      <c r="O24" s="31">
        <v>0.8</v>
      </c>
      <c r="P24" s="30"/>
      <c r="Q24" s="30"/>
      <c r="R24" s="30"/>
      <c r="S24" s="30"/>
      <c r="T24" s="30"/>
      <c r="U24" s="30"/>
      <c r="V24" s="17"/>
      <c r="W24" s="31">
        <v>0.9</v>
      </c>
      <c r="X24" s="31">
        <v>0.6</v>
      </c>
    </row>
    <row r="25" spans="1:24" ht="15" customHeight="1">
      <c r="A25" s="17">
        <v>24</v>
      </c>
      <c r="B25" s="17" t="s">
        <v>168</v>
      </c>
      <c r="C25" s="17">
        <v>12</v>
      </c>
      <c r="D25" s="17">
        <v>6</v>
      </c>
      <c r="E25" s="17">
        <v>0</v>
      </c>
      <c r="F25" s="17">
        <v>18</v>
      </c>
      <c r="G25" s="30">
        <v>2500</v>
      </c>
      <c r="H25" s="30">
        <v>3750</v>
      </c>
      <c r="I25" s="30">
        <v>0</v>
      </c>
      <c r="J25" s="30">
        <v>6250</v>
      </c>
      <c r="K25" s="30">
        <v>1250</v>
      </c>
      <c r="L25" s="30">
        <v>4500</v>
      </c>
      <c r="M25" s="30">
        <v>500</v>
      </c>
      <c r="N25" s="30">
        <v>-72000</v>
      </c>
      <c r="O25" s="31">
        <v>0.8</v>
      </c>
      <c r="P25" s="30"/>
      <c r="Q25" s="30"/>
      <c r="R25" s="30"/>
      <c r="S25" s="30"/>
      <c r="T25" s="30"/>
      <c r="U25" s="30"/>
      <c r="V25" s="17"/>
      <c r="W25" s="31">
        <v>0.9</v>
      </c>
      <c r="X25" s="31">
        <v>0.6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18" style="1" customWidth="1"/>
    <col min="3" max="3" width="20" style="1" customWidth="1"/>
    <col min="4" max="4" width="24" style="1" customWidth="1"/>
    <col min="5" max="5" width="26" style="1" customWidth="1"/>
    <col min="6" max="6" width="18" style="1" customWidth="1"/>
    <col min="7" max="7" width="20" style="1" customWidth="1"/>
    <col min="8" max="8" width="38" style="1" customWidth="1"/>
  </cols>
  <sheetData>
    <row r="1" spans="1:8" ht="33.75" customHeight="1">
      <c r="A1" s="46" t="s">
        <v>169</v>
      </c>
      <c r="B1" s="45"/>
      <c r="C1" s="45"/>
      <c r="D1" s="45"/>
      <c r="E1" s="45"/>
      <c r="F1" s="45"/>
      <c r="G1" s="45"/>
      <c r="H1" s="45"/>
    </row>
    <row r="2" spans="1:8" ht="21.75" customHeight="1">
      <c r="A2" s="47" t="s">
        <v>170</v>
      </c>
      <c r="B2" s="45"/>
      <c r="C2" s="45"/>
      <c r="D2" s="45"/>
      <c r="E2" s="45"/>
      <c r="F2" s="45"/>
      <c r="G2" s="45"/>
      <c r="H2" s="45"/>
    </row>
    <row r="4" spans="1:8" ht="31.5" customHeight="1">
      <c r="A4" s="5" t="s">
        <v>171</v>
      </c>
      <c r="B4" s="5" t="s">
        <v>172</v>
      </c>
      <c r="C4" s="5" t="s">
        <v>173</v>
      </c>
      <c r="D4" s="5" t="s">
        <v>174</v>
      </c>
      <c r="E4" s="5" t="s">
        <v>175</v>
      </c>
      <c r="F4" s="5" t="s">
        <v>176</v>
      </c>
      <c r="G4" s="5" t="s">
        <v>123</v>
      </c>
      <c r="H4" s="5" t="s">
        <v>125</v>
      </c>
    </row>
    <row r="5" spans="1:8" ht="16.350000000000001" customHeight="1">
      <c r="A5" s="6" t="s">
        <v>177</v>
      </c>
      <c r="B5" s="11">
        <v>2200</v>
      </c>
      <c r="C5" s="11">
        <v>6500</v>
      </c>
      <c r="D5" s="18">
        <v>0.25</v>
      </c>
      <c r="E5" s="18">
        <v>0.1</v>
      </c>
      <c r="F5" s="12">
        <v>0.3</v>
      </c>
      <c r="G5" s="11">
        <f>Inputs!$C$17/(1-F5)</f>
        <v>6428.5714285714294</v>
      </c>
      <c r="H5" s="6" t="s">
        <v>178</v>
      </c>
    </row>
    <row r="6" spans="1:8" ht="16.350000000000001" customHeight="1">
      <c r="A6" s="6" t="s">
        <v>179</v>
      </c>
      <c r="B6" s="11">
        <v>2500</v>
      </c>
      <c r="C6" s="11">
        <v>7500</v>
      </c>
      <c r="D6" s="18">
        <v>0.5</v>
      </c>
      <c r="E6" s="18">
        <v>0.25</v>
      </c>
      <c r="F6" s="12">
        <v>0.2</v>
      </c>
      <c r="G6" s="11">
        <f>Inputs!$C$17/(1-F6)</f>
        <v>5625</v>
      </c>
      <c r="H6" s="6" t="s">
        <v>178</v>
      </c>
    </row>
    <row r="7" spans="1:8" ht="16.350000000000001" customHeight="1">
      <c r="A7" s="6" t="s">
        <v>180</v>
      </c>
      <c r="B7" s="11">
        <v>2800</v>
      </c>
      <c r="C7" s="11">
        <v>8500</v>
      </c>
      <c r="D7" s="18">
        <v>0.75</v>
      </c>
      <c r="E7" s="18">
        <v>0.4</v>
      </c>
      <c r="F7" s="12">
        <v>0.15</v>
      </c>
      <c r="G7" s="11">
        <f>Inputs!$C$17/(1-F7)</f>
        <v>5294.1176470588234</v>
      </c>
      <c r="H7" s="6" t="s">
        <v>178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5"/>
  <sheetViews>
    <sheetView showGridLines="0" workbookViewId="0">
      <selection sqref="A1:J1"/>
    </sheetView>
  </sheetViews>
  <sheetFormatPr defaultRowHeight="15"/>
  <cols>
    <col min="1" max="1" width="14" style="2" customWidth="1"/>
    <col min="2" max="3" width="10" style="2" customWidth="1"/>
    <col min="4" max="4" width="18" style="2" customWidth="1"/>
    <col min="5" max="5" width="22" style="2" customWidth="1"/>
    <col min="6" max="6" width="16" style="2" customWidth="1"/>
    <col min="7" max="7" width="18" style="2" customWidth="1"/>
    <col min="8" max="9" width="20" style="2" customWidth="1"/>
    <col min="10" max="10" width="24" style="2" customWidth="1"/>
  </cols>
  <sheetData>
    <row r="1" spans="1:10" ht="27.75">
      <c r="A1" s="49" t="s">
        <v>181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1" t="s">
        <v>182</v>
      </c>
      <c r="B2" s="50"/>
      <c r="C2" s="50"/>
      <c r="D2" s="50"/>
      <c r="E2" s="50"/>
      <c r="F2" s="50"/>
      <c r="G2" s="50"/>
      <c r="H2" s="50"/>
      <c r="I2" s="50"/>
      <c r="J2" s="50"/>
    </row>
    <row r="4" spans="1:10">
      <c r="A4" s="32" t="s">
        <v>171</v>
      </c>
      <c r="B4" s="32" t="s">
        <v>91</v>
      </c>
      <c r="C4" s="32" t="s">
        <v>183</v>
      </c>
      <c r="D4" s="32" t="s">
        <v>184</v>
      </c>
      <c r="E4" s="32" t="s">
        <v>185</v>
      </c>
      <c r="F4" s="32" t="s">
        <v>104</v>
      </c>
      <c r="G4" s="32" t="s">
        <v>186</v>
      </c>
      <c r="H4" s="32" t="s">
        <v>187</v>
      </c>
      <c r="I4" s="32" t="s">
        <v>188</v>
      </c>
      <c r="J4" s="32" t="s">
        <v>189</v>
      </c>
    </row>
    <row r="5" spans="1:10">
      <c r="A5" s="33" t="s">
        <v>177</v>
      </c>
      <c r="B5" s="33">
        <v>1</v>
      </c>
      <c r="C5" s="33">
        <v>1</v>
      </c>
      <c r="D5" s="34">
        <v>0.25</v>
      </c>
      <c r="E5" s="34">
        <v>0.1</v>
      </c>
      <c r="F5" s="34">
        <v>0.35</v>
      </c>
      <c r="G5" s="35">
        <v>100.2083333333333</v>
      </c>
      <c r="H5" s="35">
        <v>30.062500000000011</v>
      </c>
      <c r="I5" s="35">
        <v>-4429.854166666667</v>
      </c>
      <c r="J5" s="35">
        <v>-30929.854166666672</v>
      </c>
    </row>
    <row r="6" spans="1:10">
      <c r="A6" s="33" t="s">
        <v>177</v>
      </c>
      <c r="B6" s="33">
        <v>2</v>
      </c>
      <c r="C6" s="33">
        <v>1</v>
      </c>
      <c r="D6" s="34">
        <v>0.5</v>
      </c>
      <c r="E6" s="34">
        <v>0.2</v>
      </c>
      <c r="F6" s="34">
        <v>0.7</v>
      </c>
      <c r="G6" s="35">
        <v>200.41666666666671</v>
      </c>
      <c r="H6" s="35">
        <v>60.125000000000007</v>
      </c>
      <c r="I6" s="35">
        <v>-4359.708333333333</v>
      </c>
      <c r="J6" s="35">
        <v>-35289.5625</v>
      </c>
    </row>
    <row r="7" spans="1:10">
      <c r="A7" s="33" t="s">
        <v>177</v>
      </c>
      <c r="B7" s="33">
        <v>3</v>
      </c>
      <c r="C7" s="33">
        <v>1</v>
      </c>
      <c r="D7" s="34">
        <v>0.75</v>
      </c>
      <c r="E7" s="34">
        <v>0.3</v>
      </c>
      <c r="F7" s="34">
        <v>1.05</v>
      </c>
      <c r="G7" s="35">
        <v>300.625</v>
      </c>
      <c r="H7" s="35">
        <v>90.187500000000014</v>
      </c>
      <c r="I7" s="35">
        <v>-4289.5625</v>
      </c>
      <c r="J7" s="35">
        <v>-39579.125</v>
      </c>
    </row>
    <row r="8" spans="1:10">
      <c r="A8" s="33" t="s">
        <v>177</v>
      </c>
      <c r="B8" s="33">
        <v>4</v>
      </c>
      <c r="C8" s="33">
        <v>1</v>
      </c>
      <c r="D8" s="34">
        <v>1</v>
      </c>
      <c r="E8" s="34">
        <v>0.4</v>
      </c>
      <c r="F8" s="34">
        <v>1.4</v>
      </c>
      <c r="G8" s="35">
        <v>400.83333333333343</v>
      </c>
      <c r="H8" s="35">
        <v>120.25</v>
      </c>
      <c r="I8" s="35">
        <v>-4219.416666666667</v>
      </c>
      <c r="J8" s="35">
        <v>-43798.541666666657</v>
      </c>
    </row>
    <row r="9" spans="1:10">
      <c r="A9" s="33" t="s">
        <v>177</v>
      </c>
      <c r="B9" s="33">
        <v>5</v>
      </c>
      <c r="C9" s="33">
        <v>1</v>
      </c>
      <c r="D9" s="34">
        <v>1.25</v>
      </c>
      <c r="E9" s="34">
        <v>0.5</v>
      </c>
      <c r="F9" s="34">
        <v>1.75</v>
      </c>
      <c r="G9" s="35">
        <v>501.04166666666657</v>
      </c>
      <c r="H9" s="35">
        <v>150.3125</v>
      </c>
      <c r="I9" s="35">
        <v>-4149.270833333333</v>
      </c>
      <c r="J9" s="35">
        <v>-47947.8125</v>
      </c>
    </row>
    <row r="10" spans="1:10">
      <c r="A10" s="33" t="s">
        <v>177</v>
      </c>
      <c r="B10" s="33">
        <v>6</v>
      </c>
      <c r="C10" s="33">
        <v>1</v>
      </c>
      <c r="D10" s="34">
        <v>1.5</v>
      </c>
      <c r="E10" s="34">
        <v>0.6</v>
      </c>
      <c r="F10" s="34">
        <v>2.1</v>
      </c>
      <c r="G10" s="35">
        <v>601.25</v>
      </c>
      <c r="H10" s="35">
        <v>180.375</v>
      </c>
      <c r="I10" s="35">
        <v>-4079.125</v>
      </c>
      <c r="J10" s="35">
        <v>-52026.9375</v>
      </c>
    </row>
    <row r="11" spans="1:10">
      <c r="A11" s="33" t="s">
        <v>177</v>
      </c>
      <c r="B11" s="33">
        <v>7</v>
      </c>
      <c r="C11" s="33">
        <v>1</v>
      </c>
      <c r="D11" s="34">
        <v>1.75</v>
      </c>
      <c r="E11" s="34">
        <v>0.7</v>
      </c>
      <c r="F11" s="34">
        <v>2.4500000000000002</v>
      </c>
      <c r="G11" s="35">
        <v>701.45833333333326</v>
      </c>
      <c r="H11" s="35">
        <v>210.4375</v>
      </c>
      <c r="I11" s="35">
        <v>-4008.979166666667</v>
      </c>
      <c r="J11" s="35">
        <v>-56035.916666666657</v>
      </c>
    </row>
    <row r="12" spans="1:10">
      <c r="A12" s="33" t="s">
        <v>177</v>
      </c>
      <c r="B12" s="33">
        <v>8</v>
      </c>
      <c r="C12" s="33">
        <v>1</v>
      </c>
      <c r="D12" s="34">
        <v>2</v>
      </c>
      <c r="E12" s="34">
        <v>0.79999999999999993</v>
      </c>
      <c r="F12" s="34">
        <v>2.8</v>
      </c>
      <c r="G12" s="35">
        <v>801.66666666666674</v>
      </c>
      <c r="H12" s="35">
        <v>240.50000000000011</v>
      </c>
      <c r="I12" s="35">
        <v>-3938.833333333333</v>
      </c>
      <c r="J12" s="35">
        <v>-59974.75</v>
      </c>
    </row>
    <row r="13" spans="1:10">
      <c r="A13" s="33" t="s">
        <v>177</v>
      </c>
      <c r="B13" s="33">
        <v>9</v>
      </c>
      <c r="C13" s="33">
        <v>1</v>
      </c>
      <c r="D13" s="34">
        <v>2.25</v>
      </c>
      <c r="E13" s="34">
        <v>0.89999999999999991</v>
      </c>
      <c r="F13" s="34">
        <v>3.15</v>
      </c>
      <c r="G13" s="35">
        <v>901.875</v>
      </c>
      <c r="H13" s="35">
        <v>270.56250000000011</v>
      </c>
      <c r="I13" s="35">
        <v>-3868.6875</v>
      </c>
      <c r="J13" s="35">
        <v>-63843.4375</v>
      </c>
    </row>
    <row r="14" spans="1:10">
      <c r="A14" s="33" t="s">
        <v>177</v>
      </c>
      <c r="B14" s="33">
        <v>10</v>
      </c>
      <c r="C14" s="33">
        <v>1</v>
      </c>
      <c r="D14" s="34">
        <v>2.5</v>
      </c>
      <c r="E14" s="34">
        <v>0.99999999999999989</v>
      </c>
      <c r="F14" s="34">
        <v>3.5</v>
      </c>
      <c r="G14" s="35">
        <v>1002.083333333333</v>
      </c>
      <c r="H14" s="35">
        <v>300.625</v>
      </c>
      <c r="I14" s="35">
        <v>-3798.541666666667</v>
      </c>
      <c r="J14" s="35">
        <v>-67641.979166666672</v>
      </c>
    </row>
    <row r="15" spans="1:10">
      <c r="A15" s="33" t="s">
        <v>177</v>
      </c>
      <c r="B15" s="33">
        <v>11</v>
      </c>
      <c r="C15" s="33">
        <v>1</v>
      </c>
      <c r="D15" s="34">
        <v>2.75</v>
      </c>
      <c r="E15" s="34">
        <v>1.1000000000000001</v>
      </c>
      <c r="F15" s="34">
        <v>3.85</v>
      </c>
      <c r="G15" s="35">
        <v>1102.291666666667</v>
      </c>
      <c r="H15" s="35">
        <v>330.6875</v>
      </c>
      <c r="I15" s="35">
        <v>-3728.395833333333</v>
      </c>
      <c r="J15" s="35">
        <v>-71370.375</v>
      </c>
    </row>
    <row r="16" spans="1:10">
      <c r="A16" s="33" t="s">
        <v>177</v>
      </c>
      <c r="B16" s="33">
        <v>12</v>
      </c>
      <c r="C16" s="33">
        <v>1</v>
      </c>
      <c r="D16" s="34">
        <v>3</v>
      </c>
      <c r="E16" s="34">
        <v>1.2</v>
      </c>
      <c r="F16" s="34">
        <v>4.2</v>
      </c>
      <c r="G16" s="35">
        <v>1202.5</v>
      </c>
      <c r="H16" s="35">
        <v>360.75000000000011</v>
      </c>
      <c r="I16" s="35">
        <v>-3658.25</v>
      </c>
      <c r="J16" s="35">
        <v>-75028.625</v>
      </c>
    </row>
    <row r="17" spans="1:10">
      <c r="A17" s="33" t="s">
        <v>177</v>
      </c>
      <c r="B17" s="33">
        <v>13</v>
      </c>
      <c r="C17" s="33">
        <v>2</v>
      </c>
      <c r="D17" s="34">
        <v>3.25</v>
      </c>
      <c r="E17" s="34">
        <v>1.3</v>
      </c>
      <c r="F17" s="34">
        <v>4.55</v>
      </c>
      <c r="G17" s="35">
        <v>1302.708333333333</v>
      </c>
      <c r="H17" s="35">
        <v>390.81250000000011</v>
      </c>
      <c r="I17" s="35">
        <v>-3588.104166666667</v>
      </c>
      <c r="J17" s="35">
        <v>-78616.729166666672</v>
      </c>
    </row>
    <row r="18" spans="1:10">
      <c r="A18" s="33" t="s">
        <v>177</v>
      </c>
      <c r="B18" s="33">
        <v>14</v>
      </c>
      <c r="C18" s="33">
        <v>2</v>
      </c>
      <c r="D18" s="34">
        <v>3.5</v>
      </c>
      <c r="E18" s="34">
        <v>1.4</v>
      </c>
      <c r="F18" s="34">
        <v>4.9000000000000004</v>
      </c>
      <c r="G18" s="35">
        <v>1402.916666666667</v>
      </c>
      <c r="H18" s="35">
        <v>420.875</v>
      </c>
      <c r="I18" s="35">
        <v>-3517.958333333333</v>
      </c>
      <c r="J18" s="35">
        <v>-82134.6875</v>
      </c>
    </row>
    <row r="19" spans="1:10">
      <c r="A19" s="33" t="s">
        <v>177</v>
      </c>
      <c r="B19" s="33">
        <v>15</v>
      </c>
      <c r="C19" s="33">
        <v>2</v>
      </c>
      <c r="D19" s="34">
        <v>3.75</v>
      </c>
      <c r="E19" s="34">
        <v>1.5</v>
      </c>
      <c r="F19" s="34">
        <v>5.25</v>
      </c>
      <c r="G19" s="35">
        <v>1503.125</v>
      </c>
      <c r="H19" s="35">
        <v>450.93750000000011</v>
      </c>
      <c r="I19" s="35">
        <v>-3447.8125</v>
      </c>
      <c r="J19" s="35">
        <v>-85582.5</v>
      </c>
    </row>
    <row r="20" spans="1:10">
      <c r="A20" s="33" t="s">
        <v>177</v>
      </c>
      <c r="B20" s="33">
        <v>16</v>
      </c>
      <c r="C20" s="33">
        <v>2</v>
      </c>
      <c r="D20" s="34">
        <v>4</v>
      </c>
      <c r="E20" s="34">
        <v>1.6</v>
      </c>
      <c r="F20" s="34">
        <v>5.6000000000000014</v>
      </c>
      <c r="G20" s="35">
        <v>1603.333333333333</v>
      </c>
      <c r="H20" s="35">
        <v>481.00000000000011</v>
      </c>
      <c r="I20" s="35">
        <v>-3377.666666666667</v>
      </c>
      <c r="J20" s="35">
        <v>-88960.166666666672</v>
      </c>
    </row>
    <row r="21" spans="1:10">
      <c r="A21" s="33" t="s">
        <v>177</v>
      </c>
      <c r="B21" s="33">
        <v>17</v>
      </c>
      <c r="C21" s="33">
        <v>2</v>
      </c>
      <c r="D21" s="34">
        <v>4.25</v>
      </c>
      <c r="E21" s="34">
        <v>1.7</v>
      </c>
      <c r="F21" s="34">
        <v>5.95</v>
      </c>
      <c r="G21" s="35">
        <v>1703.541666666667</v>
      </c>
      <c r="H21" s="35">
        <v>511.06250000000011</v>
      </c>
      <c r="I21" s="35">
        <v>-3307.520833333333</v>
      </c>
      <c r="J21" s="35">
        <v>-92267.6875</v>
      </c>
    </row>
    <row r="22" spans="1:10">
      <c r="A22" s="33" t="s">
        <v>177</v>
      </c>
      <c r="B22" s="33">
        <v>18</v>
      </c>
      <c r="C22" s="33">
        <v>2</v>
      </c>
      <c r="D22" s="34">
        <v>4.5</v>
      </c>
      <c r="E22" s="34">
        <v>1.8</v>
      </c>
      <c r="F22" s="34">
        <v>6.3000000000000007</v>
      </c>
      <c r="G22" s="35">
        <v>1803.75</v>
      </c>
      <c r="H22" s="35">
        <v>541.12500000000023</v>
      </c>
      <c r="I22" s="35">
        <v>-3237.375</v>
      </c>
      <c r="J22" s="35">
        <v>-95505.0625</v>
      </c>
    </row>
    <row r="23" spans="1:10">
      <c r="A23" s="33" t="s">
        <v>177</v>
      </c>
      <c r="B23" s="33">
        <v>19</v>
      </c>
      <c r="C23" s="33">
        <v>2</v>
      </c>
      <c r="D23" s="34">
        <v>4.75</v>
      </c>
      <c r="E23" s="34">
        <v>1.900000000000001</v>
      </c>
      <c r="F23" s="34">
        <v>6.65</v>
      </c>
      <c r="G23" s="35">
        <v>1903.958333333333</v>
      </c>
      <c r="H23" s="35">
        <v>571.18750000000011</v>
      </c>
      <c r="I23" s="35">
        <v>-3167.229166666667</v>
      </c>
      <c r="J23" s="35">
        <v>-98672.291666666672</v>
      </c>
    </row>
    <row r="24" spans="1:10">
      <c r="A24" s="33" t="s">
        <v>177</v>
      </c>
      <c r="B24" s="33">
        <v>20</v>
      </c>
      <c r="C24" s="33">
        <v>2</v>
      </c>
      <c r="D24" s="34">
        <v>5</v>
      </c>
      <c r="E24" s="34">
        <v>2</v>
      </c>
      <c r="F24" s="34">
        <v>7</v>
      </c>
      <c r="G24" s="35">
        <v>2004.166666666667</v>
      </c>
      <c r="H24" s="35">
        <v>601.25000000000023</v>
      </c>
      <c r="I24" s="35">
        <v>-3097.083333333333</v>
      </c>
      <c r="J24" s="35">
        <v>-101769.375</v>
      </c>
    </row>
    <row r="25" spans="1:10">
      <c r="A25" s="33" t="s">
        <v>177</v>
      </c>
      <c r="B25" s="33">
        <v>21</v>
      </c>
      <c r="C25" s="33">
        <v>2</v>
      </c>
      <c r="D25" s="34">
        <v>5.25</v>
      </c>
      <c r="E25" s="34">
        <v>2.100000000000001</v>
      </c>
      <c r="F25" s="34">
        <v>7.3500000000000014</v>
      </c>
      <c r="G25" s="35">
        <v>2104.375</v>
      </c>
      <c r="H25" s="35">
        <v>631.31250000000011</v>
      </c>
      <c r="I25" s="35">
        <v>-3026.9375</v>
      </c>
      <c r="J25" s="35">
        <v>-104796.3125</v>
      </c>
    </row>
    <row r="26" spans="1:10">
      <c r="A26" s="33" t="s">
        <v>177</v>
      </c>
      <c r="B26" s="33">
        <v>22</v>
      </c>
      <c r="C26" s="33">
        <v>2</v>
      </c>
      <c r="D26" s="34">
        <v>5.5</v>
      </c>
      <c r="E26" s="34">
        <v>2.2000000000000011</v>
      </c>
      <c r="F26" s="34">
        <v>7.7000000000000011</v>
      </c>
      <c r="G26" s="35">
        <v>2204.583333333333</v>
      </c>
      <c r="H26" s="35">
        <v>661.37500000000011</v>
      </c>
      <c r="I26" s="35">
        <v>-2956.791666666667</v>
      </c>
      <c r="J26" s="35">
        <v>-107753.1041666667</v>
      </c>
    </row>
    <row r="27" spans="1:10">
      <c r="A27" s="33" t="s">
        <v>177</v>
      </c>
      <c r="B27" s="33">
        <v>23</v>
      </c>
      <c r="C27" s="33">
        <v>2</v>
      </c>
      <c r="D27" s="34">
        <v>5.75</v>
      </c>
      <c r="E27" s="34">
        <v>2.3000000000000012</v>
      </c>
      <c r="F27" s="34">
        <v>8.0500000000000007</v>
      </c>
      <c r="G27" s="35">
        <v>2304.791666666667</v>
      </c>
      <c r="H27" s="35">
        <v>691.43750000000023</v>
      </c>
      <c r="I27" s="35">
        <v>-2886.645833333333</v>
      </c>
      <c r="J27" s="35">
        <v>-110639.75</v>
      </c>
    </row>
    <row r="28" spans="1:10">
      <c r="A28" s="33" t="s">
        <v>177</v>
      </c>
      <c r="B28" s="33">
        <v>24</v>
      </c>
      <c r="C28" s="33">
        <v>2</v>
      </c>
      <c r="D28" s="34">
        <v>6</v>
      </c>
      <c r="E28" s="34">
        <v>2.4000000000000008</v>
      </c>
      <c r="F28" s="34">
        <v>8.4</v>
      </c>
      <c r="G28" s="35">
        <v>2405</v>
      </c>
      <c r="H28" s="35">
        <v>721.50000000000023</v>
      </c>
      <c r="I28" s="35">
        <v>-2816.5</v>
      </c>
      <c r="J28" s="35">
        <v>-113456.25</v>
      </c>
    </row>
    <row r="29" spans="1:10">
      <c r="A29" s="33" t="s">
        <v>177</v>
      </c>
      <c r="B29" s="33">
        <v>25</v>
      </c>
      <c r="C29" s="33">
        <v>3</v>
      </c>
      <c r="D29" s="34">
        <v>6.25</v>
      </c>
      <c r="E29" s="34">
        <v>2.5000000000000009</v>
      </c>
      <c r="F29" s="34">
        <v>8.75</v>
      </c>
      <c r="G29" s="35">
        <v>2505.2083333333339</v>
      </c>
      <c r="H29" s="35">
        <v>751.56250000000034</v>
      </c>
      <c r="I29" s="35">
        <v>-2746.354166666667</v>
      </c>
      <c r="J29" s="35">
        <v>-116202.6041666667</v>
      </c>
    </row>
    <row r="30" spans="1:10">
      <c r="A30" s="33" t="s">
        <v>177</v>
      </c>
      <c r="B30" s="33">
        <v>26</v>
      </c>
      <c r="C30" s="33">
        <v>3</v>
      </c>
      <c r="D30" s="34">
        <v>6.5</v>
      </c>
      <c r="E30" s="34">
        <v>2.600000000000001</v>
      </c>
      <c r="F30" s="34">
        <v>9.1000000000000014</v>
      </c>
      <c r="G30" s="35">
        <v>2605.416666666667</v>
      </c>
      <c r="H30" s="35">
        <v>781.62500000000034</v>
      </c>
      <c r="I30" s="35">
        <v>-2676.208333333333</v>
      </c>
      <c r="J30" s="35">
        <v>-118878.8125</v>
      </c>
    </row>
    <row r="31" spans="1:10">
      <c r="A31" s="33" t="s">
        <v>177</v>
      </c>
      <c r="B31" s="33">
        <v>27</v>
      </c>
      <c r="C31" s="33">
        <v>3</v>
      </c>
      <c r="D31" s="34">
        <v>6.75</v>
      </c>
      <c r="E31" s="34">
        <v>2.7000000000000011</v>
      </c>
      <c r="F31" s="34">
        <v>9.4500000000000011</v>
      </c>
      <c r="G31" s="35">
        <v>2705.6250000000009</v>
      </c>
      <c r="H31" s="35">
        <v>811.68750000000034</v>
      </c>
      <c r="I31" s="35">
        <v>-2606.0625</v>
      </c>
      <c r="J31" s="35">
        <v>-121484.875</v>
      </c>
    </row>
    <row r="32" spans="1:10">
      <c r="A32" s="33" t="s">
        <v>177</v>
      </c>
      <c r="B32" s="33">
        <v>28</v>
      </c>
      <c r="C32" s="33">
        <v>3</v>
      </c>
      <c r="D32" s="34">
        <v>7</v>
      </c>
      <c r="E32" s="34">
        <v>2.8000000000000012</v>
      </c>
      <c r="F32" s="34">
        <v>9.8000000000000007</v>
      </c>
      <c r="G32" s="35">
        <v>2805.8333333333339</v>
      </c>
      <c r="H32" s="35">
        <v>841.75000000000034</v>
      </c>
      <c r="I32" s="35">
        <v>-2535.916666666667</v>
      </c>
      <c r="J32" s="35">
        <v>-124020.7916666667</v>
      </c>
    </row>
    <row r="33" spans="1:10">
      <c r="A33" s="33" t="s">
        <v>177</v>
      </c>
      <c r="B33" s="33">
        <v>29</v>
      </c>
      <c r="C33" s="33">
        <v>3</v>
      </c>
      <c r="D33" s="34">
        <v>7.25</v>
      </c>
      <c r="E33" s="34">
        <v>2.9000000000000008</v>
      </c>
      <c r="F33" s="34">
        <v>10.15</v>
      </c>
      <c r="G33" s="35">
        <v>2906.041666666667</v>
      </c>
      <c r="H33" s="35">
        <v>871.81250000000034</v>
      </c>
      <c r="I33" s="35">
        <v>-2465.770833333333</v>
      </c>
      <c r="J33" s="35">
        <v>-126486.5625</v>
      </c>
    </row>
    <row r="34" spans="1:10">
      <c r="A34" s="33" t="s">
        <v>177</v>
      </c>
      <c r="B34" s="33">
        <v>30</v>
      </c>
      <c r="C34" s="33">
        <v>3</v>
      </c>
      <c r="D34" s="34">
        <v>7.5</v>
      </c>
      <c r="E34" s="34">
        <v>3.0000000000000009</v>
      </c>
      <c r="F34" s="34">
        <v>10.5</v>
      </c>
      <c r="G34" s="35">
        <v>3006.2500000000009</v>
      </c>
      <c r="H34" s="35">
        <v>901.87500000000045</v>
      </c>
      <c r="I34" s="35">
        <v>-2395.625</v>
      </c>
      <c r="J34" s="35">
        <v>-128882.1875</v>
      </c>
    </row>
    <row r="35" spans="1:10">
      <c r="A35" s="33" t="s">
        <v>177</v>
      </c>
      <c r="B35" s="33">
        <v>31</v>
      </c>
      <c r="C35" s="33">
        <v>3</v>
      </c>
      <c r="D35" s="34">
        <v>7.75</v>
      </c>
      <c r="E35" s="34">
        <v>3.100000000000001</v>
      </c>
      <c r="F35" s="34">
        <v>10.85</v>
      </c>
      <c r="G35" s="35">
        <v>3106.4583333333339</v>
      </c>
      <c r="H35" s="35">
        <v>931.93750000000034</v>
      </c>
      <c r="I35" s="35">
        <v>-2325.479166666667</v>
      </c>
      <c r="J35" s="35">
        <v>-131207.66666666669</v>
      </c>
    </row>
    <row r="36" spans="1:10">
      <c r="A36" s="33" t="s">
        <v>177</v>
      </c>
      <c r="B36" s="33">
        <v>32</v>
      </c>
      <c r="C36" s="33">
        <v>3</v>
      </c>
      <c r="D36" s="34">
        <v>8</v>
      </c>
      <c r="E36" s="34">
        <v>3.200000000000002</v>
      </c>
      <c r="F36" s="34">
        <v>11.2</v>
      </c>
      <c r="G36" s="35">
        <v>3206.6666666666679</v>
      </c>
      <c r="H36" s="35">
        <v>962.00000000000045</v>
      </c>
      <c r="I36" s="35">
        <v>-2255.333333333333</v>
      </c>
      <c r="J36" s="35">
        <v>-133463</v>
      </c>
    </row>
    <row r="37" spans="1:10">
      <c r="A37" s="33" t="s">
        <v>177</v>
      </c>
      <c r="B37" s="33">
        <v>33</v>
      </c>
      <c r="C37" s="33">
        <v>3</v>
      </c>
      <c r="D37" s="34">
        <v>8.25</v>
      </c>
      <c r="E37" s="34">
        <v>3.300000000000002</v>
      </c>
      <c r="F37" s="34">
        <v>11.55</v>
      </c>
      <c r="G37" s="35">
        <v>3306.8750000000009</v>
      </c>
      <c r="H37" s="35">
        <v>992.06250000000045</v>
      </c>
      <c r="I37" s="35">
        <v>-2185.1875</v>
      </c>
      <c r="J37" s="35">
        <v>-135648.1875</v>
      </c>
    </row>
    <row r="38" spans="1:10">
      <c r="A38" s="33" t="s">
        <v>177</v>
      </c>
      <c r="B38" s="33">
        <v>34</v>
      </c>
      <c r="C38" s="33">
        <v>3</v>
      </c>
      <c r="D38" s="34">
        <v>8.5</v>
      </c>
      <c r="E38" s="34">
        <v>3.4000000000000021</v>
      </c>
      <c r="F38" s="34">
        <v>11.9</v>
      </c>
      <c r="G38" s="35">
        <v>3407.0833333333339</v>
      </c>
      <c r="H38" s="35">
        <v>1022.125</v>
      </c>
      <c r="I38" s="35">
        <v>-2115.041666666667</v>
      </c>
      <c r="J38" s="35">
        <v>-137763.22916666669</v>
      </c>
    </row>
    <row r="39" spans="1:10">
      <c r="A39" s="33" t="s">
        <v>177</v>
      </c>
      <c r="B39" s="33">
        <v>35</v>
      </c>
      <c r="C39" s="33">
        <v>3</v>
      </c>
      <c r="D39" s="34">
        <v>8.75</v>
      </c>
      <c r="E39" s="34">
        <v>3.5000000000000022</v>
      </c>
      <c r="F39" s="34">
        <v>12.25</v>
      </c>
      <c r="G39" s="35">
        <v>3507.2916666666679</v>
      </c>
      <c r="H39" s="35">
        <v>1052.1875</v>
      </c>
      <c r="I39" s="35">
        <v>-2044.895833333333</v>
      </c>
      <c r="J39" s="35">
        <v>-139808.125</v>
      </c>
    </row>
    <row r="40" spans="1:10">
      <c r="A40" s="33" t="s">
        <v>177</v>
      </c>
      <c r="B40" s="33">
        <v>36</v>
      </c>
      <c r="C40" s="33">
        <v>3</v>
      </c>
      <c r="D40" s="34">
        <v>9</v>
      </c>
      <c r="E40" s="34">
        <v>3.6000000000000019</v>
      </c>
      <c r="F40" s="34">
        <v>12.6</v>
      </c>
      <c r="G40" s="35">
        <v>3607.5000000000009</v>
      </c>
      <c r="H40" s="35">
        <v>1082.25</v>
      </c>
      <c r="I40" s="35">
        <v>-1974.75</v>
      </c>
      <c r="J40" s="35">
        <v>-141782.875</v>
      </c>
    </row>
    <row r="41" spans="1:10">
      <c r="A41" s="33" t="s">
        <v>179</v>
      </c>
      <c r="B41" s="33">
        <v>1</v>
      </c>
      <c r="C41" s="33">
        <v>1</v>
      </c>
      <c r="D41" s="34">
        <v>0.5</v>
      </c>
      <c r="E41" s="34">
        <v>0.25</v>
      </c>
      <c r="F41" s="34">
        <v>0.75</v>
      </c>
      <c r="G41" s="35">
        <v>260.41666666666669</v>
      </c>
      <c r="H41" s="35">
        <v>52.083333333333343</v>
      </c>
      <c r="I41" s="35">
        <v>-4291.666666666667</v>
      </c>
      <c r="J41" s="35">
        <v>-30791.666666666672</v>
      </c>
    </row>
    <row r="42" spans="1:10">
      <c r="A42" s="33" t="s">
        <v>179</v>
      </c>
      <c r="B42" s="33">
        <v>2</v>
      </c>
      <c r="C42" s="33">
        <v>1</v>
      </c>
      <c r="D42" s="34">
        <v>1</v>
      </c>
      <c r="E42" s="34">
        <v>0.5</v>
      </c>
      <c r="F42" s="34">
        <v>1.5</v>
      </c>
      <c r="G42" s="35">
        <v>520.83333333333337</v>
      </c>
      <c r="H42" s="35">
        <v>104.1666666666667</v>
      </c>
      <c r="I42" s="35">
        <v>-4083.333333333333</v>
      </c>
      <c r="J42" s="35">
        <v>-34875</v>
      </c>
    </row>
    <row r="43" spans="1:10">
      <c r="A43" s="33" t="s">
        <v>179</v>
      </c>
      <c r="B43" s="33">
        <v>3</v>
      </c>
      <c r="C43" s="33">
        <v>1</v>
      </c>
      <c r="D43" s="34">
        <v>1.5</v>
      </c>
      <c r="E43" s="34">
        <v>0.75</v>
      </c>
      <c r="F43" s="34">
        <v>2.25</v>
      </c>
      <c r="G43" s="35">
        <v>781.25</v>
      </c>
      <c r="H43" s="35">
        <v>156.25</v>
      </c>
      <c r="I43" s="35">
        <v>-3875</v>
      </c>
      <c r="J43" s="35">
        <v>-38750</v>
      </c>
    </row>
    <row r="44" spans="1:10">
      <c r="A44" s="33" t="s">
        <v>179</v>
      </c>
      <c r="B44" s="33">
        <v>4</v>
      </c>
      <c r="C44" s="33">
        <v>1</v>
      </c>
      <c r="D44" s="34">
        <v>2</v>
      </c>
      <c r="E44" s="34">
        <v>1</v>
      </c>
      <c r="F44" s="34">
        <v>3</v>
      </c>
      <c r="G44" s="35">
        <v>1041.666666666667</v>
      </c>
      <c r="H44" s="35">
        <v>208.3333333333334</v>
      </c>
      <c r="I44" s="35">
        <v>-3666.666666666667</v>
      </c>
      <c r="J44" s="35">
        <v>-42416.666666666657</v>
      </c>
    </row>
    <row r="45" spans="1:10">
      <c r="A45" s="33" t="s">
        <v>179</v>
      </c>
      <c r="B45" s="33">
        <v>5</v>
      </c>
      <c r="C45" s="33">
        <v>1</v>
      </c>
      <c r="D45" s="34">
        <v>2.5</v>
      </c>
      <c r="E45" s="34">
        <v>1.25</v>
      </c>
      <c r="F45" s="34">
        <v>3.75</v>
      </c>
      <c r="G45" s="35">
        <v>1302.083333333333</v>
      </c>
      <c r="H45" s="35">
        <v>260.41666666666669</v>
      </c>
      <c r="I45" s="35">
        <v>-3458.333333333333</v>
      </c>
      <c r="J45" s="35">
        <v>-45875</v>
      </c>
    </row>
    <row r="46" spans="1:10">
      <c r="A46" s="33" t="s">
        <v>179</v>
      </c>
      <c r="B46" s="33">
        <v>6</v>
      </c>
      <c r="C46" s="33">
        <v>1</v>
      </c>
      <c r="D46" s="34">
        <v>3</v>
      </c>
      <c r="E46" s="34">
        <v>1.5</v>
      </c>
      <c r="F46" s="34">
        <v>4.5</v>
      </c>
      <c r="G46" s="35">
        <v>1562.5</v>
      </c>
      <c r="H46" s="35">
        <v>312.5</v>
      </c>
      <c r="I46" s="35">
        <v>-3250</v>
      </c>
      <c r="J46" s="35">
        <v>-49125</v>
      </c>
    </row>
    <row r="47" spans="1:10">
      <c r="A47" s="33" t="s">
        <v>179</v>
      </c>
      <c r="B47" s="33">
        <v>7</v>
      </c>
      <c r="C47" s="33">
        <v>1</v>
      </c>
      <c r="D47" s="34">
        <v>3.5</v>
      </c>
      <c r="E47" s="34">
        <v>1.75</v>
      </c>
      <c r="F47" s="34">
        <v>5.25</v>
      </c>
      <c r="G47" s="35">
        <v>1822.916666666667</v>
      </c>
      <c r="H47" s="35">
        <v>364.58333333333331</v>
      </c>
      <c r="I47" s="35">
        <v>-3041.666666666667</v>
      </c>
      <c r="J47" s="35">
        <v>-52166.666666666657</v>
      </c>
    </row>
    <row r="48" spans="1:10">
      <c r="A48" s="33" t="s">
        <v>179</v>
      </c>
      <c r="B48" s="33">
        <v>8</v>
      </c>
      <c r="C48" s="33">
        <v>1</v>
      </c>
      <c r="D48" s="34">
        <v>4</v>
      </c>
      <c r="E48" s="34">
        <v>2</v>
      </c>
      <c r="F48" s="34">
        <v>6</v>
      </c>
      <c r="G48" s="35">
        <v>2083.333333333333</v>
      </c>
      <c r="H48" s="35">
        <v>416.66666666666669</v>
      </c>
      <c r="I48" s="35">
        <v>-2833.333333333333</v>
      </c>
      <c r="J48" s="35">
        <v>-55000</v>
      </c>
    </row>
    <row r="49" spans="1:10">
      <c r="A49" s="33" t="s">
        <v>179</v>
      </c>
      <c r="B49" s="33">
        <v>9</v>
      </c>
      <c r="C49" s="33">
        <v>1</v>
      </c>
      <c r="D49" s="34">
        <v>4.5</v>
      </c>
      <c r="E49" s="34">
        <v>2.25</v>
      </c>
      <c r="F49" s="34">
        <v>6.75</v>
      </c>
      <c r="G49" s="35">
        <v>2343.75</v>
      </c>
      <c r="H49" s="35">
        <v>468.75</v>
      </c>
      <c r="I49" s="35">
        <v>-2625</v>
      </c>
      <c r="J49" s="35">
        <v>-57625</v>
      </c>
    </row>
    <row r="50" spans="1:10">
      <c r="A50" s="33" t="s">
        <v>179</v>
      </c>
      <c r="B50" s="33">
        <v>10</v>
      </c>
      <c r="C50" s="33">
        <v>1</v>
      </c>
      <c r="D50" s="34">
        <v>5</v>
      </c>
      <c r="E50" s="34">
        <v>2.5</v>
      </c>
      <c r="F50" s="34">
        <v>7.5</v>
      </c>
      <c r="G50" s="35">
        <v>2604.166666666667</v>
      </c>
      <c r="H50" s="35">
        <v>520.83333333333337</v>
      </c>
      <c r="I50" s="35">
        <v>-2416.666666666667</v>
      </c>
      <c r="J50" s="35">
        <v>-60041.666666666657</v>
      </c>
    </row>
    <row r="51" spans="1:10">
      <c r="A51" s="33" t="s">
        <v>179</v>
      </c>
      <c r="B51" s="33">
        <v>11</v>
      </c>
      <c r="C51" s="33">
        <v>1</v>
      </c>
      <c r="D51" s="34">
        <v>5.5</v>
      </c>
      <c r="E51" s="34">
        <v>2.75</v>
      </c>
      <c r="F51" s="34">
        <v>8.25</v>
      </c>
      <c r="G51" s="35">
        <v>2864.583333333333</v>
      </c>
      <c r="H51" s="35">
        <v>572.91666666666663</v>
      </c>
      <c r="I51" s="35">
        <v>-2208.333333333333</v>
      </c>
      <c r="J51" s="35">
        <v>-62250</v>
      </c>
    </row>
    <row r="52" spans="1:10">
      <c r="A52" s="33" t="s">
        <v>179</v>
      </c>
      <c r="B52" s="33">
        <v>12</v>
      </c>
      <c r="C52" s="33">
        <v>1</v>
      </c>
      <c r="D52" s="34">
        <v>6</v>
      </c>
      <c r="E52" s="34">
        <v>3</v>
      </c>
      <c r="F52" s="34">
        <v>9</v>
      </c>
      <c r="G52" s="35">
        <v>3125</v>
      </c>
      <c r="H52" s="35">
        <v>625</v>
      </c>
      <c r="I52" s="35">
        <v>-2000</v>
      </c>
      <c r="J52" s="35">
        <v>-64250</v>
      </c>
    </row>
    <row r="53" spans="1:10">
      <c r="A53" s="33" t="s">
        <v>179</v>
      </c>
      <c r="B53" s="33">
        <v>13</v>
      </c>
      <c r="C53" s="33">
        <v>2</v>
      </c>
      <c r="D53" s="34">
        <v>6.5</v>
      </c>
      <c r="E53" s="34">
        <v>3.25</v>
      </c>
      <c r="F53" s="34">
        <v>9.75</v>
      </c>
      <c r="G53" s="35">
        <v>3385.416666666667</v>
      </c>
      <c r="H53" s="35">
        <v>677.08333333333348</v>
      </c>
      <c r="I53" s="35">
        <v>-1791.666666666667</v>
      </c>
      <c r="J53" s="35">
        <v>-66041.666666666672</v>
      </c>
    </row>
    <row r="54" spans="1:10">
      <c r="A54" s="33" t="s">
        <v>179</v>
      </c>
      <c r="B54" s="33">
        <v>14</v>
      </c>
      <c r="C54" s="33">
        <v>2</v>
      </c>
      <c r="D54" s="34">
        <v>7</v>
      </c>
      <c r="E54" s="34">
        <v>3.5</v>
      </c>
      <c r="F54" s="34">
        <v>10.5</v>
      </c>
      <c r="G54" s="35">
        <v>3645.833333333333</v>
      </c>
      <c r="H54" s="35">
        <v>729.16666666666663</v>
      </c>
      <c r="I54" s="35">
        <v>-1583.333333333333</v>
      </c>
      <c r="J54" s="35">
        <v>-67625</v>
      </c>
    </row>
    <row r="55" spans="1:10">
      <c r="A55" s="33" t="s">
        <v>179</v>
      </c>
      <c r="B55" s="33">
        <v>15</v>
      </c>
      <c r="C55" s="33">
        <v>2</v>
      </c>
      <c r="D55" s="34">
        <v>7.5</v>
      </c>
      <c r="E55" s="34">
        <v>3.75</v>
      </c>
      <c r="F55" s="34">
        <v>11.25</v>
      </c>
      <c r="G55" s="35">
        <v>3906.25</v>
      </c>
      <c r="H55" s="35">
        <v>781.25</v>
      </c>
      <c r="I55" s="35">
        <v>-1375</v>
      </c>
      <c r="J55" s="35">
        <v>-69000</v>
      </c>
    </row>
    <row r="56" spans="1:10">
      <c r="A56" s="33" t="s">
        <v>179</v>
      </c>
      <c r="B56" s="33">
        <v>16</v>
      </c>
      <c r="C56" s="33">
        <v>2</v>
      </c>
      <c r="D56" s="34">
        <v>8</v>
      </c>
      <c r="E56" s="34">
        <v>4</v>
      </c>
      <c r="F56" s="34">
        <v>12</v>
      </c>
      <c r="G56" s="35">
        <v>4166.666666666667</v>
      </c>
      <c r="H56" s="35">
        <v>833.33333333333348</v>
      </c>
      <c r="I56" s="35">
        <v>-1166.666666666667</v>
      </c>
      <c r="J56" s="35">
        <v>-70166.666666666672</v>
      </c>
    </row>
    <row r="57" spans="1:10">
      <c r="A57" s="33" t="s">
        <v>179</v>
      </c>
      <c r="B57" s="33">
        <v>17</v>
      </c>
      <c r="C57" s="33">
        <v>2</v>
      </c>
      <c r="D57" s="34">
        <v>8.5</v>
      </c>
      <c r="E57" s="34">
        <v>4.25</v>
      </c>
      <c r="F57" s="34">
        <v>12.75</v>
      </c>
      <c r="G57" s="35">
        <v>4427.083333333333</v>
      </c>
      <c r="H57" s="35">
        <v>885.41666666666663</v>
      </c>
      <c r="I57" s="35">
        <v>-958.33333333333348</v>
      </c>
      <c r="J57" s="35">
        <v>-71125</v>
      </c>
    </row>
    <row r="58" spans="1:10">
      <c r="A58" s="33" t="s">
        <v>179</v>
      </c>
      <c r="B58" s="33">
        <v>18</v>
      </c>
      <c r="C58" s="33">
        <v>2</v>
      </c>
      <c r="D58" s="34">
        <v>9</v>
      </c>
      <c r="E58" s="34">
        <v>4.5</v>
      </c>
      <c r="F58" s="34">
        <v>13.5</v>
      </c>
      <c r="G58" s="35">
        <v>4687.5</v>
      </c>
      <c r="H58" s="35">
        <v>937.5</v>
      </c>
      <c r="I58" s="35">
        <v>-750</v>
      </c>
      <c r="J58" s="35">
        <v>-71875</v>
      </c>
    </row>
    <row r="59" spans="1:10">
      <c r="A59" s="33" t="s">
        <v>179</v>
      </c>
      <c r="B59" s="33">
        <v>19</v>
      </c>
      <c r="C59" s="33">
        <v>2</v>
      </c>
      <c r="D59" s="34">
        <v>9.5</v>
      </c>
      <c r="E59" s="34">
        <v>4.75</v>
      </c>
      <c r="F59" s="34">
        <v>14.25</v>
      </c>
      <c r="G59" s="35">
        <v>4947.916666666667</v>
      </c>
      <c r="H59" s="35">
        <v>989.58333333333348</v>
      </c>
      <c r="I59" s="35">
        <v>-541.66666666666652</v>
      </c>
      <c r="J59" s="35">
        <v>-72416.666666666672</v>
      </c>
    </row>
    <row r="60" spans="1:10">
      <c r="A60" s="33" t="s">
        <v>179</v>
      </c>
      <c r="B60" s="33">
        <v>20</v>
      </c>
      <c r="C60" s="33">
        <v>2</v>
      </c>
      <c r="D60" s="34">
        <v>10</v>
      </c>
      <c r="E60" s="34">
        <v>5</v>
      </c>
      <c r="F60" s="34">
        <v>15</v>
      </c>
      <c r="G60" s="35">
        <v>5208.3333333333339</v>
      </c>
      <c r="H60" s="35">
        <v>1041.666666666667</v>
      </c>
      <c r="I60" s="35">
        <v>-333.33333333333297</v>
      </c>
      <c r="J60" s="35">
        <v>-72750</v>
      </c>
    </row>
    <row r="61" spans="1:10">
      <c r="A61" s="33" t="s">
        <v>179</v>
      </c>
      <c r="B61" s="33">
        <v>21</v>
      </c>
      <c r="C61" s="33">
        <v>2</v>
      </c>
      <c r="D61" s="34">
        <v>10.5</v>
      </c>
      <c r="E61" s="34">
        <v>5.25</v>
      </c>
      <c r="F61" s="34">
        <v>15.75</v>
      </c>
      <c r="G61" s="35">
        <v>5468.75</v>
      </c>
      <c r="H61" s="35">
        <v>1093.75</v>
      </c>
      <c r="I61" s="35">
        <v>-125</v>
      </c>
      <c r="J61" s="35">
        <v>-72875</v>
      </c>
    </row>
    <row r="62" spans="1:10">
      <c r="A62" s="33" t="s">
        <v>179</v>
      </c>
      <c r="B62" s="33">
        <v>22</v>
      </c>
      <c r="C62" s="33">
        <v>2</v>
      </c>
      <c r="D62" s="34">
        <v>11</v>
      </c>
      <c r="E62" s="34">
        <v>5.5</v>
      </c>
      <c r="F62" s="34">
        <v>16.5</v>
      </c>
      <c r="G62" s="35">
        <v>5729.1666666666661</v>
      </c>
      <c r="H62" s="35">
        <v>1145.833333333333</v>
      </c>
      <c r="I62" s="35">
        <v>83.33333333333303</v>
      </c>
      <c r="J62" s="35">
        <v>-72791.666666666672</v>
      </c>
    </row>
    <row r="63" spans="1:10">
      <c r="A63" s="33" t="s">
        <v>179</v>
      </c>
      <c r="B63" s="33">
        <v>23</v>
      </c>
      <c r="C63" s="33">
        <v>2</v>
      </c>
      <c r="D63" s="34">
        <v>11.5</v>
      </c>
      <c r="E63" s="34">
        <v>5.75</v>
      </c>
      <c r="F63" s="34">
        <v>17.25</v>
      </c>
      <c r="G63" s="35">
        <v>5989.5833333333339</v>
      </c>
      <c r="H63" s="35">
        <v>1197.916666666667</v>
      </c>
      <c r="I63" s="35">
        <v>291.66666666666703</v>
      </c>
      <c r="J63" s="35">
        <v>-72500</v>
      </c>
    </row>
    <row r="64" spans="1:10">
      <c r="A64" s="33" t="s">
        <v>179</v>
      </c>
      <c r="B64" s="33">
        <v>24</v>
      </c>
      <c r="C64" s="33">
        <v>2</v>
      </c>
      <c r="D64" s="34">
        <v>12</v>
      </c>
      <c r="E64" s="34">
        <v>6</v>
      </c>
      <c r="F64" s="34">
        <v>18</v>
      </c>
      <c r="G64" s="35">
        <v>6250</v>
      </c>
      <c r="H64" s="35">
        <v>1250</v>
      </c>
      <c r="I64" s="35">
        <v>500</v>
      </c>
      <c r="J64" s="35">
        <v>-72000</v>
      </c>
    </row>
    <row r="65" spans="1:10">
      <c r="A65" s="33" t="s">
        <v>179</v>
      </c>
      <c r="B65" s="33">
        <v>25</v>
      </c>
      <c r="C65" s="33">
        <v>3</v>
      </c>
      <c r="D65" s="34">
        <v>12.5</v>
      </c>
      <c r="E65" s="34">
        <v>6.25</v>
      </c>
      <c r="F65" s="34">
        <v>18.75</v>
      </c>
      <c r="G65" s="35">
        <v>6510.4166666666661</v>
      </c>
      <c r="H65" s="35">
        <v>1302.083333333333</v>
      </c>
      <c r="I65" s="35">
        <v>708.33333333333303</v>
      </c>
      <c r="J65" s="35">
        <v>-71291.666666666672</v>
      </c>
    </row>
    <row r="66" spans="1:10">
      <c r="A66" s="33" t="s">
        <v>179</v>
      </c>
      <c r="B66" s="33">
        <v>26</v>
      </c>
      <c r="C66" s="33">
        <v>3</v>
      </c>
      <c r="D66" s="34">
        <v>13</v>
      </c>
      <c r="E66" s="34">
        <v>6.5</v>
      </c>
      <c r="F66" s="34">
        <v>19.5</v>
      </c>
      <c r="G66" s="35">
        <v>6770.8333333333339</v>
      </c>
      <c r="H66" s="35">
        <v>1354.166666666667</v>
      </c>
      <c r="I66" s="35">
        <v>916.66666666666697</v>
      </c>
      <c r="J66" s="35">
        <v>-70375</v>
      </c>
    </row>
    <row r="67" spans="1:10">
      <c r="A67" s="33" t="s">
        <v>179</v>
      </c>
      <c r="B67" s="33">
        <v>27</v>
      </c>
      <c r="C67" s="33">
        <v>3</v>
      </c>
      <c r="D67" s="34">
        <v>13.5</v>
      </c>
      <c r="E67" s="34">
        <v>6.75</v>
      </c>
      <c r="F67" s="34">
        <v>20.25</v>
      </c>
      <c r="G67" s="35">
        <v>7031.25</v>
      </c>
      <c r="H67" s="35">
        <v>1406.25</v>
      </c>
      <c r="I67" s="35">
        <v>1125</v>
      </c>
      <c r="J67" s="35">
        <v>-69250</v>
      </c>
    </row>
    <row r="68" spans="1:10">
      <c r="A68" s="33" t="s">
        <v>179</v>
      </c>
      <c r="B68" s="33">
        <v>28</v>
      </c>
      <c r="C68" s="33">
        <v>3</v>
      </c>
      <c r="D68" s="34">
        <v>14</v>
      </c>
      <c r="E68" s="34">
        <v>7</v>
      </c>
      <c r="F68" s="34">
        <v>21</v>
      </c>
      <c r="G68" s="35">
        <v>7291.6666666666661</v>
      </c>
      <c r="H68" s="35">
        <v>1458.333333333333</v>
      </c>
      <c r="I68" s="35">
        <v>1333.333333333333</v>
      </c>
      <c r="J68" s="35">
        <v>-67916.666666666672</v>
      </c>
    </row>
    <row r="69" spans="1:10">
      <c r="A69" s="33" t="s">
        <v>179</v>
      </c>
      <c r="B69" s="33">
        <v>29</v>
      </c>
      <c r="C69" s="33">
        <v>3</v>
      </c>
      <c r="D69" s="34">
        <v>14.5</v>
      </c>
      <c r="E69" s="34">
        <v>7.25</v>
      </c>
      <c r="F69" s="34">
        <v>21.75</v>
      </c>
      <c r="G69" s="35">
        <v>7552.0833333333339</v>
      </c>
      <c r="H69" s="35">
        <v>1510.416666666667</v>
      </c>
      <c r="I69" s="35">
        <v>1541.666666666667</v>
      </c>
      <c r="J69" s="35">
        <v>-66375</v>
      </c>
    </row>
    <row r="70" spans="1:10">
      <c r="A70" s="33" t="s">
        <v>179</v>
      </c>
      <c r="B70" s="33">
        <v>30</v>
      </c>
      <c r="C70" s="33">
        <v>3</v>
      </c>
      <c r="D70" s="34">
        <v>15</v>
      </c>
      <c r="E70" s="34">
        <v>7.5</v>
      </c>
      <c r="F70" s="34">
        <v>22.5</v>
      </c>
      <c r="G70" s="35">
        <v>7812.5</v>
      </c>
      <c r="H70" s="35">
        <v>1562.5</v>
      </c>
      <c r="I70" s="35">
        <v>1750</v>
      </c>
      <c r="J70" s="35">
        <v>-64625</v>
      </c>
    </row>
    <row r="71" spans="1:10">
      <c r="A71" s="33" t="s">
        <v>179</v>
      </c>
      <c r="B71" s="33">
        <v>31</v>
      </c>
      <c r="C71" s="33">
        <v>3</v>
      </c>
      <c r="D71" s="34">
        <v>15.5</v>
      </c>
      <c r="E71" s="34">
        <v>7.75</v>
      </c>
      <c r="F71" s="34">
        <v>23.25</v>
      </c>
      <c r="G71" s="35">
        <v>8072.9166666666661</v>
      </c>
      <c r="H71" s="35">
        <v>1614.583333333333</v>
      </c>
      <c r="I71" s="35">
        <v>1958.333333333333</v>
      </c>
      <c r="J71" s="35">
        <v>-62666.666666666657</v>
      </c>
    </row>
    <row r="72" spans="1:10">
      <c r="A72" s="33" t="s">
        <v>179</v>
      </c>
      <c r="B72" s="33">
        <v>32</v>
      </c>
      <c r="C72" s="33">
        <v>3</v>
      </c>
      <c r="D72" s="34">
        <v>16</v>
      </c>
      <c r="E72" s="34">
        <v>8</v>
      </c>
      <c r="F72" s="34">
        <v>24</v>
      </c>
      <c r="G72" s="35">
        <v>8333.3333333333339</v>
      </c>
      <c r="H72" s="35">
        <v>1666.666666666667</v>
      </c>
      <c r="I72" s="35">
        <v>2166.666666666667</v>
      </c>
      <c r="J72" s="35">
        <v>-60500</v>
      </c>
    </row>
    <row r="73" spans="1:10">
      <c r="A73" s="33" t="s">
        <v>179</v>
      </c>
      <c r="B73" s="33">
        <v>33</v>
      </c>
      <c r="C73" s="33">
        <v>3</v>
      </c>
      <c r="D73" s="34">
        <v>16.5</v>
      </c>
      <c r="E73" s="34">
        <v>8.25</v>
      </c>
      <c r="F73" s="34">
        <v>24.75</v>
      </c>
      <c r="G73" s="35">
        <v>8593.75</v>
      </c>
      <c r="H73" s="35">
        <v>1718.75</v>
      </c>
      <c r="I73" s="35">
        <v>2375</v>
      </c>
      <c r="J73" s="35">
        <v>-58125</v>
      </c>
    </row>
    <row r="74" spans="1:10">
      <c r="A74" s="33" t="s">
        <v>179</v>
      </c>
      <c r="B74" s="33">
        <v>34</v>
      </c>
      <c r="C74" s="33">
        <v>3</v>
      </c>
      <c r="D74" s="34">
        <v>17</v>
      </c>
      <c r="E74" s="34">
        <v>8.5</v>
      </c>
      <c r="F74" s="34">
        <v>25.5</v>
      </c>
      <c r="G74" s="35">
        <v>8854.1666666666661</v>
      </c>
      <c r="H74" s="35">
        <v>1770.833333333333</v>
      </c>
      <c r="I74" s="35">
        <v>2583.333333333333</v>
      </c>
      <c r="J74" s="35">
        <v>-55541.666666666657</v>
      </c>
    </row>
    <row r="75" spans="1:10">
      <c r="A75" s="33" t="s">
        <v>179</v>
      </c>
      <c r="B75" s="33">
        <v>35</v>
      </c>
      <c r="C75" s="33">
        <v>3</v>
      </c>
      <c r="D75" s="34">
        <v>17.5</v>
      </c>
      <c r="E75" s="34">
        <v>8.75</v>
      </c>
      <c r="F75" s="34">
        <v>26.25</v>
      </c>
      <c r="G75" s="35">
        <v>9114.5833333333339</v>
      </c>
      <c r="H75" s="35">
        <v>1822.916666666667</v>
      </c>
      <c r="I75" s="35">
        <v>2791.666666666667</v>
      </c>
      <c r="J75" s="35">
        <v>-52750</v>
      </c>
    </row>
    <row r="76" spans="1:10">
      <c r="A76" s="33" t="s">
        <v>179</v>
      </c>
      <c r="B76" s="33">
        <v>36</v>
      </c>
      <c r="C76" s="33">
        <v>3</v>
      </c>
      <c r="D76" s="34">
        <v>18</v>
      </c>
      <c r="E76" s="34">
        <v>9</v>
      </c>
      <c r="F76" s="34">
        <v>27</v>
      </c>
      <c r="G76" s="35">
        <v>9375</v>
      </c>
      <c r="H76" s="35">
        <v>1875</v>
      </c>
      <c r="I76" s="35">
        <v>3000</v>
      </c>
      <c r="J76" s="35">
        <v>-49750</v>
      </c>
    </row>
    <row r="77" spans="1:10">
      <c r="A77" s="33" t="s">
        <v>180</v>
      </c>
      <c r="B77" s="33">
        <v>1</v>
      </c>
      <c r="C77" s="33">
        <v>1</v>
      </c>
      <c r="D77" s="34">
        <v>0.75</v>
      </c>
      <c r="E77" s="34">
        <v>0.4</v>
      </c>
      <c r="F77" s="34">
        <v>1.1499999999999999</v>
      </c>
      <c r="G77" s="35">
        <v>457.5</v>
      </c>
      <c r="H77" s="35">
        <v>68.625000000000014</v>
      </c>
      <c r="I77" s="35">
        <v>-4111.125</v>
      </c>
      <c r="J77" s="35">
        <v>-30611.125</v>
      </c>
    </row>
    <row r="78" spans="1:10">
      <c r="A78" s="33" t="s">
        <v>180</v>
      </c>
      <c r="B78" s="33">
        <v>2</v>
      </c>
      <c r="C78" s="33">
        <v>1</v>
      </c>
      <c r="D78" s="34">
        <v>1.5</v>
      </c>
      <c r="E78" s="34">
        <v>0.8</v>
      </c>
      <c r="F78" s="34">
        <v>2.2999999999999998</v>
      </c>
      <c r="G78" s="35">
        <v>915</v>
      </c>
      <c r="H78" s="35">
        <v>137.25</v>
      </c>
      <c r="I78" s="35">
        <v>-3722.25</v>
      </c>
      <c r="J78" s="35">
        <v>-34333.375</v>
      </c>
    </row>
    <row r="79" spans="1:10">
      <c r="A79" s="33" t="s">
        <v>180</v>
      </c>
      <c r="B79" s="33">
        <v>3</v>
      </c>
      <c r="C79" s="33">
        <v>1</v>
      </c>
      <c r="D79" s="34">
        <v>2.25</v>
      </c>
      <c r="E79" s="34">
        <v>1.2</v>
      </c>
      <c r="F79" s="34">
        <v>3.45</v>
      </c>
      <c r="G79" s="35">
        <v>1372.5</v>
      </c>
      <c r="H79" s="35">
        <v>205.87500000000011</v>
      </c>
      <c r="I79" s="35">
        <v>-3333.375</v>
      </c>
      <c r="J79" s="35">
        <v>-37666.75</v>
      </c>
    </row>
    <row r="80" spans="1:10">
      <c r="A80" s="33" t="s">
        <v>180</v>
      </c>
      <c r="B80" s="33">
        <v>4</v>
      </c>
      <c r="C80" s="33">
        <v>1</v>
      </c>
      <c r="D80" s="34">
        <v>3</v>
      </c>
      <c r="E80" s="34">
        <v>1.6</v>
      </c>
      <c r="F80" s="34">
        <v>4.5999999999999996</v>
      </c>
      <c r="G80" s="35">
        <v>1830</v>
      </c>
      <c r="H80" s="35">
        <v>274.50000000000011</v>
      </c>
      <c r="I80" s="35">
        <v>-2944.5</v>
      </c>
      <c r="J80" s="35">
        <v>-40611.25</v>
      </c>
    </row>
    <row r="81" spans="1:10">
      <c r="A81" s="33" t="s">
        <v>180</v>
      </c>
      <c r="B81" s="33">
        <v>5</v>
      </c>
      <c r="C81" s="33">
        <v>1</v>
      </c>
      <c r="D81" s="34">
        <v>3.75</v>
      </c>
      <c r="E81" s="34">
        <v>2</v>
      </c>
      <c r="F81" s="34">
        <v>5.75</v>
      </c>
      <c r="G81" s="35">
        <v>2287.5</v>
      </c>
      <c r="H81" s="35">
        <v>343.12500000000011</v>
      </c>
      <c r="I81" s="35">
        <v>-2555.625</v>
      </c>
      <c r="J81" s="35">
        <v>-43166.875</v>
      </c>
    </row>
    <row r="82" spans="1:10">
      <c r="A82" s="33" t="s">
        <v>180</v>
      </c>
      <c r="B82" s="33">
        <v>6</v>
      </c>
      <c r="C82" s="33">
        <v>1</v>
      </c>
      <c r="D82" s="34">
        <v>4.5</v>
      </c>
      <c r="E82" s="34">
        <v>2.4</v>
      </c>
      <c r="F82" s="34">
        <v>6.9</v>
      </c>
      <c r="G82" s="35">
        <v>2745</v>
      </c>
      <c r="H82" s="35">
        <v>411.75000000000011</v>
      </c>
      <c r="I82" s="35">
        <v>-2166.75</v>
      </c>
      <c r="J82" s="35">
        <v>-45333.625</v>
      </c>
    </row>
    <row r="83" spans="1:10">
      <c r="A83" s="33" t="s">
        <v>180</v>
      </c>
      <c r="B83" s="33">
        <v>7</v>
      </c>
      <c r="C83" s="33">
        <v>1</v>
      </c>
      <c r="D83" s="34">
        <v>5.25</v>
      </c>
      <c r="E83" s="34">
        <v>2.8</v>
      </c>
      <c r="F83" s="34">
        <v>8.0500000000000007</v>
      </c>
      <c r="G83" s="35">
        <v>3202.5</v>
      </c>
      <c r="H83" s="35">
        <v>480.37500000000011</v>
      </c>
      <c r="I83" s="35">
        <v>-1777.875</v>
      </c>
      <c r="J83" s="35">
        <v>-47111.5</v>
      </c>
    </row>
    <row r="84" spans="1:10">
      <c r="A84" s="33" t="s">
        <v>180</v>
      </c>
      <c r="B84" s="33">
        <v>8</v>
      </c>
      <c r="C84" s="33">
        <v>1</v>
      </c>
      <c r="D84" s="34">
        <v>6</v>
      </c>
      <c r="E84" s="34">
        <v>3.2</v>
      </c>
      <c r="F84" s="34">
        <v>9.1999999999999993</v>
      </c>
      <c r="G84" s="35">
        <v>3660</v>
      </c>
      <c r="H84" s="35">
        <v>549.00000000000011</v>
      </c>
      <c r="I84" s="35">
        <v>-1389</v>
      </c>
      <c r="J84" s="35">
        <v>-48500.5</v>
      </c>
    </row>
    <row r="85" spans="1:10">
      <c r="A85" s="33" t="s">
        <v>180</v>
      </c>
      <c r="B85" s="33">
        <v>9</v>
      </c>
      <c r="C85" s="33">
        <v>1</v>
      </c>
      <c r="D85" s="34">
        <v>6.75</v>
      </c>
      <c r="E85" s="34">
        <v>3.6</v>
      </c>
      <c r="F85" s="34">
        <v>10.35</v>
      </c>
      <c r="G85" s="35">
        <v>4117.5</v>
      </c>
      <c r="H85" s="35">
        <v>617.62500000000011</v>
      </c>
      <c r="I85" s="35">
        <v>-1000.125</v>
      </c>
      <c r="J85" s="35">
        <v>-49500.625</v>
      </c>
    </row>
    <row r="86" spans="1:10">
      <c r="A86" s="33" t="s">
        <v>180</v>
      </c>
      <c r="B86" s="33">
        <v>10</v>
      </c>
      <c r="C86" s="33">
        <v>1</v>
      </c>
      <c r="D86" s="34">
        <v>7.5</v>
      </c>
      <c r="E86" s="34">
        <v>4</v>
      </c>
      <c r="F86" s="34">
        <v>11.5</v>
      </c>
      <c r="G86" s="35">
        <v>4575</v>
      </c>
      <c r="H86" s="35">
        <v>686.25000000000011</v>
      </c>
      <c r="I86" s="35">
        <v>-611.25</v>
      </c>
      <c r="J86" s="35">
        <v>-50111.875</v>
      </c>
    </row>
    <row r="87" spans="1:10">
      <c r="A87" s="33" t="s">
        <v>180</v>
      </c>
      <c r="B87" s="33">
        <v>11</v>
      </c>
      <c r="C87" s="33">
        <v>1</v>
      </c>
      <c r="D87" s="34">
        <v>8.25</v>
      </c>
      <c r="E87" s="34">
        <v>4.3999999999999986</v>
      </c>
      <c r="F87" s="34">
        <v>12.65</v>
      </c>
      <c r="G87" s="35">
        <v>5032.5</v>
      </c>
      <c r="H87" s="35">
        <v>754.87500000000011</v>
      </c>
      <c r="I87" s="35">
        <v>-222.375</v>
      </c>
      <c r="J87" s="35">
        <v>-50334.25</v>
      </c>
    </row>
    <row r="88" spans="1:10">
      <c r="A88" s="33" t="s">
        <v>180</v>
      </c>
      <c r="B88" s="33">
        <v>12</v>
      </c>
      <c r="C88" s="33">
        <v>1</v>
      </c>
      <c r="D88" s="34">
        <v>9</v>
      </c>
      <c r="E88" s="34">
        <v>4.8</v>
      </c>
      <c r="F88" s="34">
        <v>13.8</v>
      </c>
      <c r="G88" s="35">
        <v>5490</v>
      </c>
      <c r="H88" s="35">
        <v>823.50000000000011</v>
      </c>
      <c r="I88" s="35">
        <v>166.5</v>
      </c>
      <c r="J88" s="35">
        <v>-50167.75</v>
      </c>
    </row>
    <row r="89" spans="1:10">
      <c r="A89" s="33" t="s">
        <v>180</v>
      </c>
      <c r="B89" s="33">
        <v>13</v>
      </c>
      <c r="C89" s="33">
        <v>2</v>
      </c>
      <c r="D89" s="34">
        <v>9.75</v>
      </c>
      <c r="E89" s="34">
        <v>5.2</v>
      </c>
      <c r="F89" s="34">
        <v>14.95</v>
      </c>
      <c r="G89" s="35">
        <v>5947.5</v>
      </c>
      <c r="H89" s="35">
        <v>892.12500000000011</v>
      </c>
      <c r="I89" s="35">
        <v>555.375</v>
      </c>
      <c r="J89" s="35">
        <v>-49612.375</v>
      </c>
    </row>
    <row r="90" spans="1:10">
      <c r="A90" s="33" t="s">
        <v>180</v>
      </c>
      <c r="B90" s="33">
        <v>14</v>
      </c>
      <c r="C90" s="33">
        <v>2</v>
      </c>
      <c r="D90" s="34">
        <v>10.5</v>
      </c>
      <c r="E90" s="34">
        <v>5.6000000000000014</v>
      </c>
      <c r="F90" s="34">
        <v>16.100000000000001</v>
      </c>
      <c r="G90" s="35">
        <v>6405.0000000000009</v>
      </c>
      <c r="H90" s="35">
        <v>960.75000000000023</v>
      </c>
      <c r="I90" s="35">
        <v>944.25000000000091</v>
      </c>
      <c r="J90" s="35">
        <v>-48668.125</v>
      </c>
    </row>
    <row r="91" spans="1:10">
      <c r="A91" s="33" t="s">
        <v>180</v>
      </c>
      <c r="B91" s="33">
        <v>15</v>
      </c>
      <c r="C91" s="33">
        <v>2</v>
      </c>
      <c r="D91" s="34">
        <v>11.25</v>
      </c>
      <c r="E91" s="34">
        <v>6.0000000000000009</v>
      </c>
      <c r="F91" s="34">
        <v>17.25</v>
      </c>
      <c r="G91" s="35">
        <v>6862.5000000000018</v>
      </c>
      <c r="H91" s="35">
        <v>1029.375</v>
      </c>
      <c r="I91" s="35">
        <v>1333.125000000002</v>
      </c>
      <c r="J91" s="35">
        <v>-47335</v>
      </c>
    </row>
    <row r="92" spans="1:10">
      <c r="A92" s="33" t="s">
        <v>180</v>
      </c>
      <c r="B92" s="33">
        <v>16</v>
      </c>
      <c r="C92" s="33">
        <v>2</v>
      </c>
      <c r="D92" s="34">
        <v>12</v>
      </c>
      <c r="E92" s="34">
        <v>6.4000000000000012</v>
      </c>
      <c r="F92" s="34">
        <v>18.399999999999999</v>
      </c>
      <c r="G92" s="35">
        <v>7320.0000000000018</v>
      </c>
      <c r="H92" s="35">
        <v>1098</v>
      </c>
      <c r="I92" s="35">
        <v>1722.000000000002</v>
      </c>
      <c r="J92" s="35">
        <v>-45613</v>
      </c>
    </row>
    <row r="93" spans="1:10">
      <c r="A93" s="33" t="s">
        <v>180</v>
      </c>
      <c r="B93" s="33">
        <v>17</v>
      </c>
      <c r="C93" s="33">
        <v>2</v>
      </c>
      <c r="D93" s="34">
        <v>12.75</v>
      </c>
      <c r="E93" s="34">
        <v>6.8000000000000016</v>
      </c>
      <c r="F93" s="34">
        <v>19.55</v>
      </c>
      <c r="G93" s="35">
        <v>7777.5000000000018</v>
      </c>
      <c r="H93" s="35">
        <v>1166.625</v>
      </c>
      <c r="I93" s="35">
        <v>2110.8750000000018</v>
      </c>
      <c r="J93" s="35">
        <v>-43502.125</v>
      </c>
    </row>
    <row r="94" spans="1:10">
      <c r="A94" s="33" t="s">
        <v>180</v>
      </c>
      <c r="B94" s="33">
        <v>18</v>
      </c>
      <c r="C94" s="33">
        <v>2</v>
      </c>
      <c r="D94" s="34">
        <v>13.5</v>
      </c>
      <c r="E94" s="34">
        <v>7.200000000000002</v>
      </c>
      <c r="F94" s="34">
        <v>20.7</v>
      </c>
      <c r="G94" s="35">
        <v>8235.0000000000018</v>
      </c>
      <c r="H94" s="35">
        <v>1235.25</v>
      </c>
      <c r="I94" s="35">
        <v>2499.7500000000018</v>
      </c>
      <c r="J94" s="35">
        <v>-41002.375</v>
      </c>
    </row>
    <row r="95" spans="1:10">
      <c r="A95" s="33" t="s">
        <v>180</v>
      </c>
      <c r="B95" s="33">
        <v>19</v>
      </c>
      <c r="C95" s="33">
        <v>2</v>
      </c>
      <c r="D95" s="34">
        <v>14.25</v>
      </c>
      <c r="E95" s="34">
        <v>7.6000000000000023</v>
      </c>
      <c r="F95" s="34">
        <v>21.85</v>
      </c>
      <c r="G95" s="35">
        <v>8692.5000000000018</v>
      </c>
      <c r="H95" s="35">
        <v>1303.875</v>
      </c>
      <c r="I95" s="35">
        <v>2888.6250000000018</v>
      </c>
      <c r="J95" s="35">
        <v>-38113.75</v>
      </c>
    </row>
    <row r="96" spans="1:10">
      <c r="A96" s="33" t="s">
        <v>180</v>
      </c>
      <c r="B96" s="33">
        <v>20</v>
      </c>
      <c r="C96" s="33">
        <v>2</v>
      </c>
      <c r="D96" s="34">
        <v>15</v>
      </c>
      <c r="E96" s="34">
        <v>8.0000000000000018</v>
      </c>
      <c r="F96" s="34">
        <v>23</v>
      </c>
      <c r="G96" s="35">
        <v>9150.0000000000018</v>
      </c>
      <c r="H96" s="35">
        <v>1372.5</v>
      </c>
      <c r="I96" s="35">
        <v>3277.5000000000018</v>
      </c>
      <c r="J96" s="35">
        <v>-34836.25</v>
      </c>
    </row>
    <row r="97" spans="1:10">
      <c r="A97" s="33" t="s">
        <v>180</v>
      </c>
      <c r="B97" s="33">
        <v>21</v>
      </c>
      <c r="C97" s="33">
        <v>2</v>
      </c>
      <c r="D97" s="34">
        <v>15.75</v>
      </c>
      <c r="E97" s="34">
        <v>8.4000000000000021</v>
      </c>
      <c r="F97" s="34">
        <v>24.15</v>
      </c>
      <c r="G97" s="35">
        <v>9607.5000000000018</v>
      </c>
      <c r="H97" s="35">
        <v>1441.125</v>
      </c>
      <c r="I97" s="35">
        <v>3666.3750000000018</v>
      </c>
      <c r="J97" s="35">
        <v>-31169.875</v>
      </c>
    </row>
    <row r="98" spans="1:10">
      <c r="A98" s="33" t="s">
        <v>180</v>
      </c>
      <c r="B98" s="33">
        <v>22</v>
      </c>
      <c r="C98" s="33">
        <v>2</v>
      </c>
      <c r="D98" s="34">
        <v>16.5</v>
      </c>
      <c r="E98" s="34">
        <v>8.8000000000000025</v>
      </c>
      <c r="F98" s="34">
        <v>25.3</v>
      </c>
      <c r="G98" s="35">
        <v>10065</v>
      </c>
      <c r="H98" s="35">
        <v>1509.75</v>
      </c>
      <c r="I98" s="35">
        <v>4055.2500000000018</v>
      </c>
      <c r="J98" s="35">
        <v>-27114.625</v>
      </c>
    </row>
    <row r="99" spans="1:10">
      <c r="A99" s="33" t="s">
        <v>180</v>
      </c>
      <c r="B99" s="33">
        <v>23</v>
      </c>
      <c r="C99" s="33">
        <v>2</v>
      </c>
      <c r="D99" s="34">
        <v>17.25</v>
      </c>
      <c r="E99" s="34">
        <v>9.2000000000000028</v>
      </c>
      <c r="F99" s="34">
        <v>26.45</v>
      </c>
      <c r="G99" s="35">
        <v>10522.5</v>
      </c>
      <c r="H99" s="35">
        <v>1578.3750000000009</v>
      </c>
      <c r="I99" s="35">
        <v>4444.1250000000036</v>
      </c>
      <c r="J99" s="35">
        <v>-22670.5</v>
      </c>
    </row>
    <row r="100" spans="1:10">
      <c r="A100" s="33" t="s">
        <v>180</v>
      </c>
      <c r="B100" s="33">
        <v>24</v>
      </c>
      <c r="C100" s="33">
        <v>2</v>
      </c>
      <c r="D100" s="34">
        <v>18</v>
      </c>
      <c r="E100" s="34">
        <v>9.6000000000000032</v>
      </c>
      <c r="F100" s="34">
        <v>27.6</v>
      </c>
      <c r="G100" s="35">
        <v>10980</v>
      </c>
      <c r="H100" s="35">
        <v>1647.0000000000009</v>
      </c>
      <c r="I100" s="35">
        <v>4833.0000000000036</v>
      </c>
      <c r="J100" s="35">
        <v>-17837.499999999989</v>
      </c>
    </row>
    <row r="101" spans="1:10">
      <c r="A101" s="33" t="s">
        <v>180</v>
      </c>
      <c r="B101" s="33">
        <v>25</v>
      </c>
      <c r="C101" s="33">
        <v>3</v>
      </c>
      <c r="D101" s="34">
        <v>18.75</v>
      </c>
      <c r="E101" s="34">
        <v>10</v>
      </c>
      <c r="F101" s="34">
        <v>28.75</v>
      </c>
      <c r="G101" s="35">
        <v>11437.5</v>
      </c>
      <c r="H101" s="35">
        <v>1715.6250000000009</v>
      </c>
      <c r="I101" s="35">
        <v>5221.8750000000036</v>
      </c>
      <c r="J101" s="35">
        <v>-12615.624999999991</v>
      </c>
    </row>
    <row r="102" spans="1:10">
      <c r="A102" s="33" t="s">
        <v>180</v>
      </c>
      <c r="B102" s="33">
        <v>26</v>
      </c>
      <c r="C102" s="33">
        <v>3</v>
      </c>
      <c r="D102" s="34">
        <v>19.5</v>
      </c>
      <c r="E102" s="34">
        <v>10.4</v>
      </c>
      <c r="F102" s="34">
        <v>29.900000000000009</v>
      </c>
      <c r="G102" s="35">
        <v>11895</v>
      </c>
      <c r="H102" s="35">
        <v>1784.2500000000009</v>
      </c>
      <c r="I102" s="35">
        <v>5610.7500000000036</v>
      </c>
      <c r="J102" s="35">
        <v>-7004.8749999999854</v>
      </c>
    </row>
    <row r="103" spans="1:10">
      <c r="A103" s="33" t="s">
        <v>180</v>
      </c>
      <c r="B103" s="33">
        <v>27</v>
      </c>
      <c r="C103" s="33">
        <v>3</v>
      </c>
      <c r="D103" s="34">
        <v>20.25</v>
      </c>
      <c r="E103" s="34">
        <v>10.8</v>
      </c>
      <c r="F103" s="34">
        <v>31.05</v>
      </c>
      <c r="G103" s="35">
        <v>12352.5</v>
      </c>
      <c r="H103" s="35">
        <v>1852.8750000000009</v>
      </c>
      <c r="I103" s="35">
        <v>5999.6250000000036</v>
      </c>
      <c r="J103" s="35">
        <v>-1005.249999999982</v>
      </c>
    </row>
    <row r="104" spans="1:10">
      <c r="A104" s="33" t="s">
        <v>180</v>
      </c>
      <c r="B104" s="33">
        <v>28</v>
      </c>
      <c r="C104" s="33">
        <v>3</v>
      </c>
      <c r="D104" s="34">
        <v>21</v>
      </c>
      <c r="E104" s="34">
        <v>11.2</v>
      </c>
      <c r="F104" s="34">
        <v>32.200000000000003</v>
      </c>
      <c r="G104" s="35">
        <v>12810</v>
      </c>
      <c r="H104" s="35">
        <v>1921.5000000000009</v>
      </c>
      <c r="I104" s="35">
        <v>6388.5000000000036</v>
      </c>
      <c r="J104" s="35">
        <v>5383.2500000000218</v>
      </c>
    </row>
    <row r="105" spans="1:10">
      <c r="A105" s="33" t="s">
        <v>180</v>
      </c>
      <c r="B105" s="33">
        <v>29</v>
      </c>
      <c r="C105" s="33">
        <v>3</v>
      </c>
      <c r="D105" s="34">
        <v>21.75</v>
      </c>
      <c r="E105" s="34">
        <v>11.6</v>
      </c>
      <c r="F105" s="34">
        <v>33.350000000000009</v>
      </c>
      <c r="G105" s="35">
        <v>13267.5</v>
      </c>
      <c r="H105" s="35">
        <v>1990.1250000000009</v>
      </c>
      <c r="I105" s="35">
        <v>6777.3750000000036</v>
      </c>
      <c r="J105" s="35">
        <v>12160.625000000029</v>
      </c>
    </row>
    <row r="106" spans="1:10">
      <c r="A106" s="33" t="s">
        <v>180</v>
      </c>
      <c r="B106" s="33">
        <v>30</v>
      </c>
      <c r="C106" s="33">
        <v>3</v>
      </c>
      <c r="D106" s="34">
        <v>22.5</v>
      </c>
      <c r="E106" s="34">
        <v>12.000000000000011</v>
      </c>
      <c r="F106" s="34">
        <v>34.500000000000007</v>
      </c>
      <c r="G106" s="35">
        <v>13725</v>
      </c>
      <c r="H106" s="35">
        <v>2058.7500000000009</v>
      </c>
      <c r="I106" s="35">
        <v>7166.2500000000036</v>
      </c>
      <c r="J106" s="35">
        <v>19326.875000000029</v>
      </c>
    </row>
    <row r="107" spans="1:10">
      <c r="A107" s="33" t="s">
        <v>180</v>
      </c>
      <c r="B107" s="33">
        <v>31</v>
      </c>
      <c r="C107" s="33">
        <v>3</v>
      </c>
      <c r="D107" s="34">
        <v>23.25</v>
      </c>
      <c r="E107" s="34">
        <v>12.400000000000009</v>
      </c>
      <c r="F107" s="34">
        <v>35.650000000000013</v>
      </c>
      <c r="G107" s="35">
        <v>14182.5</v>
      </c>
      <c r="H107" s="35">
        <v>2127.3750000000009</v>
      </c>
      <c r="I107" s="35">
        <v>7555.1250000000036</v>
      </c>
      <c r="J107" s="35">
        <v>26882.000000000029</v>
      </c>
    </row>
    <row r="108" spans="1:10">
      <c r="A108" s="33" t="s">
        <v>180</v>
      </c>
      <c r="B108" s="33">
        <v>32</v>
      </c>
      <c r="C108" s="33">
        <v>3</v>
      </c>
      <c r="D108" s="34">
        <v>24</v>
      </c>
      <c r="E108" s="34">
        <v>12.80000000000001</v>
      </c>
      <c r="F108" s="34">
        <v>36.799999999999997</v>
      </c>
      <c r="G108" s="35">
        <v>14640.000000000009</v>
      </c>
      <c r="H108" s="35">
        <v>2196.0000000000009</v>
      </c>
      <c r="I108" s="35">
        <v>7944.0000000000045</v>
      </c>
      <c r="J108" s="35">
        <v>34826.000000000036</v>
      </c>
    </row>
    <row r="109" spans="1:10">
      <c r="A109" s="33" t="s">
        <v>180</v>
      </c>
      <c r="B109" s="33">
        <v>33</v>
      </c>
      <c r="C109" s="33">
        <v>3</v>
      </c>
      <c r="D109" s="34">
        <v>24.75</v>
      </c>
      <c r="E109" s="34">
        <v>13.20000000000001</v>
      </c>
      <c r="F109" s="34">
        <v>37.950000000000003</v>
      </c>
      <c r="G109" s="35">
        <v>15097.500000000009</v>
      </c>
      <c r="H109" s="35">
        <v>2264.6250000000009</v>
      </c>
      <c r="I109" s="35">
        <v>8332.8750000000055</v>
      </c>
      <c r="J109" s="35">
        <v>43158.875000000036</v>
      </c>
    </row>
    <row r="110" spans="1:10">
      <c r="A110" s="33" t="s">
        <v>180</v>
      </c>
      <c r="B110" s="33">
        <v>34</v>
      </c>
      <c r="C110" s="33">
        <v>3</v>
      </c>
      <c r="D110" s="34">
        <v>25.5</v>
      </c>
      <c r="E110" s="34">
        <v>13.60000000000001</v>
      </c>
      <c r="F110" s="34">
        <v>39.100000000000009</v>
      </c>
      <c r="G110" s="35">
        <v>15555.000000000009</v>
      </c>
      <c r="H110" s="35">
        <v>2333.2500000000009</v>
      </c>
      <c r="I110" s="35">
        <v>8721.7500000000055</v>
      </c>
      <c r="J110" s="35">
        <v>51880.625000000051</v>
      </c>
    </row>
    <row r="111" spans="1:10">
      <c r="A111" s="33" t="s">
        <v>180</v>
      </c>
      <c r="B111" s="33">
        <v>35</v>
      </c>
      <c r="C111" s="33">
        <v>3</v>
      </c>
      <c r="D111" s="34">
        <v>26.25</v>
      </c>
      <c r="E111" s="34">
        <v>14.000000000000011</v>
      </c>
      <c r="F111" s="34">
        <v>40.250000000000007</v>
      </c>
      <c r="G111" s="35">
        <v>16012.500000000009</v>
      </c>
      <c r="H111" s="35">
        <v>2401.8750000000009</v>
      </c>
      <c r="I111" s="35">
        <v>9110.6250000000055</v>
      </c>
      <c r="J111" s="35">
        <v>60991.250000000058</v>
      </c>
    </row>
    <row r="112" spans="1:10">
      <c r="A112" s="33" t="s">
        <v>180</v>
      </c>
      <c r="B112" s="33">
        <v>36</v>
      </c>
      <c r="C112" s="33">
        <v>3</v>
      </c>
      <c r="D112" s="34">
        <v>27</v>
      </c>
      <c r="E112" s="34">
        <v>14.400000000000009</v>
      </c>
      <c r="F112" s="34">
        <v>41.400000000000013</v>
      </c>
      <c r="G112" s="35">
        <v>16470.000000000011</v>
      </c>
      <c r="H112" s="35">
        <v>2470.5000000000009</v>
      </c>
      <c r="I112" s="35">
        <v>9499.5000000000055</v>
      </c>
      <c r="J112" s="35">
        <v>70490.750000000058</v>
      </c>
    </row>
    <row r="115" spans="1:7" ht="19.5">
      <c r="A115" s="36" t="s">
        <v>190</v>
      </c>
    </row>
    <row r="116" spans="1:7" ht="30">
      <c r="A116" s="32" t="s">
        <v>171</v>
      </c>
      <c r="B116" s="32" t="s">
        <v>183</v>
      </c>
      <c r="C116" s="32" t="s">
        <v>186</v>
      </c>
      <c r="D116" s="32" t="s">
        <v>188</v>
      </c>
      <c r="E116" s="32" t="s">
        <v>191</v>
      </c>
      <c r="F116" s="32" t="s">
        <v>192</v>
      </c>
      <c r="G116" s="32" t="s">
        <v>113</v>
      </c>
    </row>
    <row r="117" spans="1:7">
      <c r="A117" t="s">
        <v>177</v>
      </c>
      <c r="B117">
        <v>1</v>
      </c>
      <c r="C117" s="37">
        <v>7816.25</v>
      </c>
      <c r="D117" s="37">
        <v>-48528.625</v>
      </c>
      <c r="E117" s="37">
        <v>-75028.625</v>
      </c>
      <c r="F117" s="38">
        <v>4.2</v>
      </c>
      <c r="G117" s="39">
        <v>0.7</v>
      </c>
    </row>
    <row r="118" spans="1:7">
      <c r="A118" t="s">
        <v>177</v>
      </c>
      <c r="B118">
        <v>2</v>
      </c>
      <c r="C118" s="37">
        <v>22246.25</v>
      </c>
      <c r="D118" s="37">
        <v>-38427.625</v>
      </c>
      <c r="E118" s="37">
        <v>-113456.25</v>
      </c>
      <c r="F118" s="38">
        <v>8.4</v>
      </c>
      <c r="G118" s="39">
        <v>0.69999999999999984</v>
      </c>
    </row>
    <row r="119" spans="1:7">
      <c r="A119" t="s">
        <v>177</v>
      </c>
      <c r="B119">
        <v>3</v>
      </c>
      <c r="C119" s="37">
        <v>36676.250000000007</v>
      </c>
      <c r="D119" s="37">
        <v>-28326.625</v>
      </c>
      <c r="E119" s="37">
        <v>-141782.875</v>
      </c>
      <c r="F119" s="38">
        <v>12.6</v>
      </c>
      <c r="G119" s="39">
        <v>0.7</v>
      </c>
    </row>
    <row r="120" spans="1:7">
      <c r="A120" t="s">
        <v>179</v>
      </c>
      <c r="B120">
        <v>1</v>
      </c>
      <c r="C120" s="37">
        <v>20312.5</v>
      </c>
      <c r="D120" s="37">
        <v>-37750</v>
      </c>
      <c r="E120" s="37">
        <v>-64250</v>
      </c>
      <c r="F120" s="38">
        <v>9</v>
      </c>
      <c r="G120" s="39">
        <v>0.8</v>
      </c>
    </row>
    <row r="121" spans="1:7">
      <c r="A121" t="s">
        <v>179</v>
      </c>
      <c r="B121">
        <v>2</v>
      </c>
      <c r="C121" s="37">
        <v>57812.5</v>
      </c>
      <c r="D121" s="37">
        <v>-7750</v>
      </c>
      <c r="E121" s="37">
        <v>-72000</v>
      </c>
      <c r="F121" s="38">
        <v>18</v>
      </c>
      <c r="G121" s="39">
        <v>0.8</v>
      </c>
    </row>
    <row r="122" spans="1:7">
      <c r="A122" t="s">
        <v>179</v>
      </c>
      <c r="B122">
        <v>3</v>
      </c>
      <c r="C122" s="37">
        <v>95312.5</v>
      </c>
      <c r="D122" s="37">
        <v>22250</v>
      </c>
      <c r="E122" s="37">
        <v>-49750</v>
      </c>
      <c r="F122" s="38">
        <v>27</v>
      </c>
      <c r="G122" s="39">
        <v>0.8</v>
      </c>
    </row>
    <row r="123" spans="1:7">
      <c r="A123" t="s">
        <v>180</v>
      </c>
      <c r="B123">
        <v>1</v>
      </c>
      <c r="C123" s="37">
        <v>35685</v>
      </c>
      <c r="D123" s="37">
        <v>-23667.75</v>
      </c>
      <c r="E123" s="37">
        <v>-50167.75</v>
      </c>
      <c r="F123" s="38">
        <v>13.8</v>
      </c>
      <c r="G123" s="39">
        <v>0.85</v>
      </c>
    </row>
    <row r="124" spans="1:7">
      <c r="A124" t="s">
        <v>180</v>
      </c>
      <c r="B124">
        <v>2</v>
      </c>
      <c r="C124" s="37">
        <v>101565</v>
      </c>
      <c r="D124" s="37">
        <v>32330.250000000018</v>
      </c>
      <c r="E124" s="37">
        <v>-17837.499999999989</v>
      </c>
      <c r="F124" s="38">
        <v>27.6</v>
      </c>
      <c r="G124" s="39">
        <v>0.85000000000000009</v>
      </c>
    </row>
    <row r="125" spans="1:7">
      <c r="A125" t="s">
        <v>180</v>
      </c>
      <c r="B125">
        <v>3</v>
      </c>
      <c r="C125" s="37">
        <v>167445.00000000009</v>
      </c>
      <c r="D125" s="37">
        <v>88328.250000000058</v>
      </c>
      <c r="E125" s="37">
        <v>70490.750000000058</v>
      </c>
      <c r="F125" s="38">
        <v>41.400000000000013</v>
      </c>
      <c r="G125" s="39">
        <v>0.85000000000000009</v>
      </c>
    </row>
  </sheetData>
  <mergeCells count="2">
    <mergeCell ref="A1:J1"/>
    <mergeCell ref="A2:J2"/>
  </mergeCells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"/>
    </sheetView>
  </sheetViews>
  <sheetFormatPr defaultRowHeight="15"/>
  <cols>
    <col min="1" max="1" width="30" style="2" customWidth="1"/>
    <col min="2" max="4" width="20" style="2" customWidth="1"/>
    <col min="6" max="6" width="70" style="2" customWidth="1"/>
  </cols>
  <sheetData>
    <row r="1" spans="1:6" ht="27.75">
      <c r="A1" s="49" t="s">
        <v>193</v>
      </c>
      <c r="B1" s="50"/>
      <c r="C1" s="50"/>
      <c r="D1" s="50"/>
      <c r="E1" s="45"/>
      <c r="F1" s="50"/>
    </row>
    <row r="2" spans="1:6">
      <c r="A2" s="51" t="s">
        <v>194</v>
      </c>
      <c r="B2" s="50"/>
      <c r="C2" s="50"/>
      <c r="D2" s="50"/>
      <c r="E2" s="45"/>
      <c r="F2" s="50"/>
    </row>
    <row r="4" spans="1:6">
      <c r="A4" s="32" t="s">
        <v>195</v>
      </c>
      <c r="B4" s="32" t="s">
        <v>196</v>
      </c>
      <c r="C4" s="32" t="s">
        <v>197</v>
      </c>
      <c r="D4" s="32" t="s">
        <v>198</v>
      </c>
    </row>
    <row r="5" spans="1:6">
      <c r="A5" t="s">
        <v>199</v>
      </c>
      <c r="B5" s="40">
        <v>38125</v>
      </c>
      <c r="C5" s="40">
        <v>47656.25</v>
      </c>
      <c r="D5" s="40">
        <v>57187.5</v>
      </c>
    </row>
    <row r="6" spans="1:6">
      <c r="A6" t="s">
        <v>200</v>
      </c>
      <c r="B6" s="40">
        <v>76250</v>
      </c>
      <c r="C6" s="41">
        <v>95312.5</v>
      </c>
      <c r="D6" s="41">
        <v>114375</v>
      </c>
    </row>
    <row r="7" spans="1:6">
      <c r="A7" t="s">
        <v>201</v>
      </c>
      <c r="B7" s="41">
        <v>114375</v>
      </c>
      <c r="C7" s="42">
        <v>142968.75</v>
      </c>
      <c r="D7" s="42">
        <v>171562.5</v>
      </c>
    </row>
    <row r="10" spans="1:6" ht="18.75">
      <c r="A10" s="43" t="s">
        <v>202</v>
      </c>
    </row>
    <row r="11" spans="1:6">
      <c r="A11" s="52" t="s">
        <v>203</v>
      </c>
      <c r="B11" s="50"/>
      <c r="C11" s="50"/>
      <c r="D11" s="50"/>
      <c r="E11" s="45"/>
      <c r="F11" s="50"/>
    </row>
    <row r="12" spans="1:6">
      <c r="A12" s="50"/>
      <c r="B12" s="50"/>
      <c r="C12" s="50"/>
      <c r="D12" s="50"/>
      <c r="E12" s="45"/>
      <c r="F12" s="50"/>
    </row>
  </sheetData>
  <mergeCells count="3">
    <mergeCell ref="A2:F2"/>
    <mergeCell ref="A1:F1"/>
    <mergeCell ref="A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10</vt:i4>
      </vt:variant>
    </vt:vector>
  </HeadingPairs>
  <TitlesOfParts>
    <vt:vector size="10" baseType="lpstr">
      <vt:lpstr>README</vt:lpstr>
      <vt:lpstr>Inputs</vt:lpstr>
      <vt:lpstr>Budget_Variance</vt:lpstr>
      <vt:lpstr>Actuals_Monthly</vt:lpstr>
      <vt:lpstr>Monthly_Model</vt:lpstr>
      <vt:lpstr>Dashboard</vt:lpstr>
      <vt:lpstr>PowerBI_Export</vt:lpstr>
      <vt:lpstr>Sensitivity</vt:lpstr>
      <vt:lpstr>Three_Year_Forecast</vt:lpstr>
      <vt:lpstr>Sensitivity_3Y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2026-08-15T10:18:48Z</dcterms:created>
  <dcterms:modified xsi:type="dcterms:W3CDTF">2026-08-15T11:44:03Z</dcterms:modified>
  <dc:language>en-US</dc:language>
</cp:coreProperties>
</file>